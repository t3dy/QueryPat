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m95/Documents/Zebrapedia/"/>
    </mc:Choice>
  </mc:AlternateContent>
  <xr:revisionPtr revIDLastSave="0" documentId="13_ncr:1_{52C2217E-340D-7B42-AB45-1E420CEB3AC3}" xr6:coauthVersionLast="47" xr6:coauthVersionMax="47" xr10:uidLastSave="{00000000-0000-0000-0000-000000000000}"/>
  <bookViews>
    <workbookView xWindow="400" yWindow="840" windowWidth="24420" windowHeight="12620" xr2:uid="{AB1899A0-1B12-5E4C-9C92-C3186A9BCA25}"/>
  </bookViews>
  <sheets>
    <sheet name="Folder pagecounts and compariso" sheetId="1" r:id="rId1"/>
    <sheet name="Page sequences" sheetId="2" r:id="rId2"/>
    <sheet name="Folder ordering" sheetId="5" r:id="rId3"/>
    <sheet name="Sutin rundown" sheetId="3" r:id="rId4"/>
    <sheet name="Jackson-Lethem rundown" sheetId="4" r:id="rId5"/>
  </sheets>
  <definedNames>
    <definedName name="_xlnm._FilterDatabase" localSheetId="3" hidden="1">'Sutin rundown'!$A$1:$J$128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1" l="1"/>
  <c r="A92" i="5"/>
  <c r="B92" i="5"/>
  <c r="C92" i="5"/>
  <c r="A40" i="5"/>
  <c r="B40" i="5"/>
  <c r="C40" i="5"/>
  <c r="A22" i="5"/>
  <c r="B22" i="5"/>
  <c r="C22" i="5"/>
  <c r="A26" i="5"/>
  <c r="B26" i="5"/>
  <c r="C26" i="5"/>
  <c r="A27" i="5"/>
  <c r="B27" i="5"/>
  <c r="C27" i="5"/>
  <c r="A34" i="5"/>
  <c r="B34" i="5"/>
  <c r="C34" i="5"/>
  <c r="A35" i="5"/>
  <c r="B35" i="5"/>
  <c r="C35" i="5"/>
  <c r="A33" i="5"/>
  <c r="B33" i="5"/>
  <c r="C33" i="5"/>
  <c r="A7" i="5"/>
  <c r="B7" i="5"/>
  <c r="C7" i="5"/>
  <c r="A8" i="5"/>
  <c r="B8" i="5"/>
  <c r="C8" i="5"/>
  <c r="A9" i="5"/>
  <c r="B9" i="5"/>
  <c r="C9" i="5"/>
  <c r="A10" i="5"/>
  <c r="B10" i="5"/>
  <c r="C10" i="5"/>
  <c r="A21" i="5"/>
  <c r="B21" i="5"/>
  <c r="C21" i="5"/>
  <c r="A23" i="5"/>
  <c r="B23" i="5"/>
  <c r="C23" i="5"/>
  <c r="A18" i="5"/>
  <c r="B18" i="5"/>
  <c r="C18" i="5"/>
  <c r="A15" i="5"/>
  <c r="B15" i="5"/>
  <c r="C15" i="5"/>
  <c r="A17" i="5"/>
  <c r="B17" i="5"/>
  <c r="C17" i="5"/>
  <c r="A13" i="5"/>
  <c r="B13" i="5"/>
  <c r="C13" i="5"/>
  <c r="A11" i="5"/>
  <c r="B11" i="5"/>
  <c r="C11" i="5"/>
  <c r="A12" i="5"/>
  <c r="B12" i="5"/>
  <c r="C12" i="5"/>
  <c r="A14" i="5"/>
  <c r="B14" i="5"/>
  <c r="C14" i="5"/>
  <c r="A28" i="5"/>
  <c r="B28" i="5"/>
  <c r="C28" i="5"/>
  <c r="A42" i="5"/>
  <c r="B42" i="5"/>
  <c r="C42" i="5"/>
  <c r="A16" i="5"/>
  <c r="B16" i="5"/>
  <c r="C16" i="5"/>
  <c r="A46" i="5"/>
  <c r="B46" i="5"/>
  <c r="C46" i="5"/>
  <c r="A47" i="5"/>
  <c r="B47" i="5"/>
  <c r="C47" i="5"/>
  <c r="A48" i="5"/>
  <c r="B48" i="5"/>
  <c r="C48" i="5"/>
  <c r="A50" i="5"/>
  <c r="B50" i="5"/>
  <c r="C50" i="5"/>
  <c r="A51" i="5"/>
  <c r="B51" i="5"/>
  <c r="C51" i="5"/>
  <c r="A19" i="5"/>
  <c r="B19" i="5"/>
  <c r="C19" i="5"/>
  <c r="A88" i="5"/>
  <c r="B88" i="5"/>
  <c r="C88" i="5"/>
  <c r="A89" i="5"/>
  <c r="B89" i="5"/>
  <c r="C89" i="5"/>
  <c r="A80" i="5"/>
  <c r="B80" i="5"/>
  <c r="C80" i="5"/>
  <c r="A78" i="5"/>
  <c r="B78" i="5"/>
  <c r="C78" i="5"/>
  <c r="A81" i="5"/>
  <c r="B81" i="5"/>
  <c r="C81" i="5"/>
  <c r="A20" i="5"/>
  <c r="B20" i="5"/>
  <c r="C20" i="5"/>
  <c r="A79" i="5"/>
  <c r="B79" i="5"/>
  <c r="C79" i="5"/>
  <c r="A82" i="5"/>
  <c r="B82" i="5"/>
  <c r="C82" i="5"/>
  <c r="A87" i="5"/>
  <c r="B87" i="5"/>
  <c r="C87" i="5"/>
  <c r="A71" i="5"/>
  <c r="B71" i="5"/>
  <c r="C71" i="5"/>
  <c r="A52" i="5"/>
  <c r="B52" i="5"/>
  <c r="C52" i="5"/>
  <c r="A53" i="5"/>
  <c r="B53" i="5"/>
  <c r="C53" i="5"/>
  <c r="A65" i="5"/>
  <c r="B65" i="5"/>
  <c r="C65" i="5"/>
  <c r="A56" i="5"/>
  <c r="B56" i="5"/>
  <c r="C56" i="5"/>
  <c r="A55" i="5"/>
  <c r="B55" i="5"/>
  <c r="C55" i="5"/>
  <c r="A59" i="5"/>
  <c r="B59" i="5"/>
  <c r="C59" i="5"/>
  <c r="A68" i="5"/>
  <c r="B68" i="5"/>
  <c r="C68" i="5"/>
  <c r="A72" i="5"/>
  <c r="B72" i="5"/>
  <c r="C72" i="5"/>
  <c r="A3" i="5"/>
  <c r="B3" i="5"/>
  <c r="C3" i="5"/>
  <c r="A90" i="5"/>
  <c r="B90" i="5"/>
  <c r="C90" i="5"/>
  <c r="A24" i="5"/>
  <c r="B24" i="5"/>
  <c r="C24" i="5"/>
  <c r="A29" i="5"/>
  <c r="B29" i="5"/>
  <c r="C29" i="5"/>
  <c r="A32" i="5"/>
  <c r="B32" i="5"/>
  <c r="C32" i="5"/>
  <c r="A6" i="5"/>
  <c r="B6" i="5"/>
  <c r="C6" i="5"/>
  <c r="A91" i="5"/>
  <c r="B91" i="5"/>
  <c r="C91" i="5"/>
  <c r="A43" i="5"/>
  <c r="B43" i="5"/>
  <c r="C43" i="5"/>
  <c r="A44" i="5"/>
  <c r="B44" i="5"/>
  <c r="C44" i="5"/>
  <c r="A45" i="5"/>
  <c r="B45" i="5"/>
  <c r="C45" i="5"/>
  <c r="A49" i="5"/>
  <c r="B49" i="5"/>
  <c r="C49" i="5"/>
  <c r="A2" i="5"/>
  <c r="B2" i="5"/>
  <c r="C2" i="5"/>
  <c r="A25" i="5"/>
  <c r="B25" i="5"/>
  <c r="C25" i="5"/>
  <c r="A60" i="5"/>
  <c r="B60" i="5"/>
  <c r="C60" i="5"/>
  <c r="A61" i="5"/>
  <c r="B61" i="5"/>
  <c r="C61" i="5"/>
  <c r="A77" i="5"/>
  <c r="B77" i="5"/>
  <c r="C77" i="5"/>
  <c r="A66" i="5"/>
  <c r="B66" i="5"/>
  <c r="C66" i="5"/>
  <c r="A67" i="5"/>
  <c r="B67" i="5"/>
  <c r="C67" i="5"/>
  <c r="A83" i="5"/>
  <c r="B83" i="5"/>
  <c r="C83" i="5"/>
  <c r="A84" i="5"/>
  <c r="B84" i="5"/>
  <c r="C84" i="5"/>
  <c r="A85" i="5"/>
  <c r="B85" i="5"/>
  <c r="C85" i="5"/>
  <c r="A86" i="5"/>
  <c r="B86" i="5"/>
  <c r="C86" i="5"/>
  <c r="A73" i="5"/>
  <c r="B73" i="5"/>
  <c r="C73" i="5"/>
  <c r="A75" i="5"/>
  <c r="B75" i="5"/>
  <c r="C75" i="5"/>
  <c r="A76" i="5"/>
  <c r="B76" i="5"/>
  <c r="C76" i="5"/>
  <c r="A57" i="5"/>
  <c r="B57" i="5"/>
  <c r="C57" i="5"/>
  <c r="A62" i="5"/>
  <c r="B62" i="5"/>
  <c r="C62" i="5"/>
  <c r="A63" i="5"/>
  <c r="B63" i="5"/>
  <c r="C63" i="5"/>
  <c r="A64" i="5"/>
  <c r="B64" i="5"/>
  <c r="C64" i="5"/>
  <c r="A69" i="5"/>
  <c r="B69" i="5"/>
  <c r="C69" i="5"/>
  <c r="A70" i="5"/>
  <c r="B70" i="5"/>
  <c r="C70" i="5"/>
  <c r="A74" i="5"/>
  <c r="B74" i="5"/>
  <c r="C74" i="5"/>
  <c r="A58" i="5"/>
  <c r="B58" i="5"/>
  <c r="C58" i="5"/>
  <c r="A5" i="5"/>
  <c r="B5" i="5"/>
  <c r="C5" i="5"/>
  <c r="A30" i="5"/>
  <c r="B30" i="5"/>
  <c r="A31" i="5"/>
  <c r="B31" i="5"/>
  <c r="A4" i="5"/>
  <c r="B4" i="5"/>
  <c r="A38" i="5"/>
  <c r="B38" i="5"/>
  <c r="A39" i="5"/>
  <c r="B39" i="5"/>
  <c r="A36" i="5"/>
  <c r="B36" i="5"/>
  <c r="A41" i="5"/>
  <c r="B41" i="5"/>
  <c r="A37" i="5"/>
  <c r="B37" i="5"/>
  <c r="C30" i="5"/>
  <c r="C31" i="5"/>
  <c r="C4" i="5"/>
  <c r="C38" i="5"/>
  <c r="C39" i="5"/>
  <c r="C36" i="5"/>
  <c r="C41" i="5"/>
  <c r="C37" i="5"/>
  <c r="C54" i="5"/>
  <c r="B54" i="5"/>
  <c r="A54" i="5"/>
  <c r="D273" i="2" l="1"/>
  <c r="D260" i="2"/>
  <c r="D259" i="2"/>
  <c r="D252" i="2"/>
  <c r="D190" i="2"/>
  <c r="D180" i="2"/>
  <c r="D179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2" i="1"/>
  <c r="J96" i="1"/>
  <c r="H96" i="1"/>
  <c r="I9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2" i="1"/>
  <c r="I98" i="1" l="1"/>
  <c r="K96" i="1"/>
</calcChain>
</file>

<file path=xl/sharedStrings.xml><?xml version="1.0" encoding="utf-8"?>
<sst xmlns="http://schemas.openxmlformats.org/spreadsheetml/2006/main" count="1422" uniqueCount="902">
  <si>
    <t>Folder</t>
  </si>
  <si>
    <t>Notes</t>
  </si>
  <si>
    <t>Approx date</t>
  </si>
  <si>
    <t>PW notes</t>
  </si>
  <si>
    <t>PW page count</t>
  </si>
  <si>
    <t>Zebrapedia page count</t>
  </si>
  <si>
    <t>PDF page count</t>
  </si>
  <si>
    <t>"letters 2/75-9/76"</t>
  </si>
  <si>
    <t>Sept. 1978 (ca.)--PW</t>
  </si>
  <si>
    <t>Sept. 7 1978 (PW)</t>
  </si>
  <si>
    <t>"Found in Capitol Films envelope dated 1980." Detailed list of typed letters.</t>
  </si>
  <si>
    <t>With title page.</t>
  </si>
  <si>
    <t>"notebook from early '72, not part of Exegesis-- to be refiled. Henceforth, 051 is a null entry."</t>
  </si>
  <si>
    <t>Cosmogony and Cosmology. Not numbered as folder in Zebrapedia</t>
  </si>
  <si>
    <t>Zebrapedia/PDF discrep</t>
  </si>
  <si>
    <t>Page # begin</t>
  </si>
  <si>
    <t>Page # end</t>
  </si>
  <si>
    <t>Title page</t>
  </si>
  <si>
    <t>Date</t>
  </si>
  <si>
    <t>Date evidence</t>
  </si>
  <si>
    <t>Stated</t>
  </si>
  <si>
    <t># of pages</t>
  </si>
  <si>
    <t>Some typed pages, possibly from another sequence. PP533-537 lacking.</t>
  </si>
  <si>
    <t>Typed</t>
  </si>
  <si>
    <t>Continues from last page of 10-21-80 typed</t>
  </si>
  <si>
    <t>[7]</t>
  </si>
  <si>
    <t>Briefer later dates on last couple pages</t>
  </si>
  <si>
    <t>Continues from last page of 10-24-80</t>
  </si>
  <si>
    <t>609-10 , 623-29 lacking</t>
  </si>
  <si>
    <t>"III"</t>
  </si>
  <si>
    <t>"IV"</t>
  </si>
  <si>
    <t>"V"</t>
  </si>
  <si>
    <t>"VI"</t>
  </si>
  <si>
    <t>Addendum 1</t>
  </si>
  <si>
    <t>addendum 2</t>
  </si>
  <si>
    <t>"XV". The 11-17-80 Theophany</t>
  </si>
  <si>
    <t>inferred</t>
  </si>
  <si>
    <t>Footnote to "end" on p.858</t>
  </si>
  <si>
    <t>Concludes: "End." Footnote written later than 12-10-1980.</t>
  </si>
  <si>
    <t>stated</t>
  </si>
  <si>
    <t>typed</t>
  </si>
  <si>
    <t>"VII"</t>
  </si>
  <si>
    <t>"VIII". Some page numbers apparently repeated at the beginning of the sequence.</t>
  </si>
  <si>
    <t>"IX"; "XI" beginning at p.772; "XII" at 791; "XIII" at 804. Some page numbers apparently skipped in sequence, but text appears uninterrupted.</t>
  </si>
  <si>
    <t>"XIV"</t>
  </si>
  <si>
    <t>nn[1]</t>
  </si>
  <si>
    <t>nn[5]</t>
  </si>
  <si>
    <t>"XVII"</t>
  </si>
  <si>
    <t>"XVIII". Overlaps with pagination from 21-27, is this de facto 28-29?</t>
  </si>
  <si>
    <t>PW</t>
  </si>
  <si>
    <t>One page number repeated (bu PKD)by mistake.</t>
  </si>
  <si>
    <t>41-46 lacking.</t>
  </si>
  <si>
    <t>Typed w/handwritten diagram page</t>
  </si>
  <si>
    <t>Letter to Claudia. Assuming diagram (pdf p11) is the missing p4</t>
  </si>
  <si>
    <t>Typed letter to Phylils Boucher.</t>
  </si>
  <si>
    <t>"A Light Struck Meadow for Tony Hiss" and 1p note to "Tuffy"</t>
  </si>
  <si>
    <t>Typed letter to Claudia</t>
  </si>
  <si>
    <t>p.1-2, 1-2.</t>
  </si>
  <si>
    <t>(after 10/20)</t>
  </si>
  <si>
    <t>Typed letter to Ursula</t>
  </si>
  <si>
    <t>Typed letter to Dr. Ornstein</t>
  </si>
  <si>
    <t>Typed letter to Henry</t>
  </si>
  <si>
    <t>2-29-75, i.e. 3/1/75?</t>
  </si>
  <si>
    <t>"Entropy equals disorder"; final page = letter to Claudia</t>
  </si>
  <si>
    <t>"The anamnesis phenomenon"; final page = letter to Claudia.</t>
  </si>
  <si>
    <t>"The 'Logos Effect'"; letter to Claudia on final page.</t>
  </si>
  <si>
    <t>12 + 1</t>
  </si>
  <si>
    <t>"Jesus spoke of a coming 'Kingship of God'"; final single page "mirror opposite universe"</t>
  </si>
  <si>
    <t>"When I look back on those first days"</t>
  </si>
  <si>
    <t>"The band of darkness"</t>
  </si>
  <si>
    <t>"I suddenlys [sic] see it very clearly"</t>
  </si>
  <si>
    <t>"The Neoplatonist structure of Plotinus"</t>
  </si>
  <si>
    <t>"This task has been assigned". May continue "I suddenlys see it" from above.</t>
  </si>
  <si>
    <t>"Our world, an ice world of winter"</t>
  </si>
  <si>
    <t>"I read now that the Passover"</t>
  </si>
  <si>
    <t>"I just discovered that for 15 months"</t>
  </si>
  <si>
    <t>"The dream in TEARS signifies"</t>
  </si>
  <si>
    <t>year inferred. "Last night (June 2nd)"</t>
  </si>
  <si>
    <t>"The Moth, which in descending"</t>
  </si>
  <si>
    <t>Typed letter to Doris</t>
  </si>
  <si>
    <t>Typed letter to Jack</t>
  </si>
  <si>
    <t>1 + 1</t>
  </si>
  <si>
    <t>Handwritten sheet may be related to letter, maybe not</t>
  </si>
  <si>
    <t>"In all the months since"</t>
  </si>
  <si>
    <t>"Jesus emphasized to the descriples [sic]"</t>
  </si>
  <si>
    <t>Repeated text from above. "Jesus emphasized to the descriples [sic]"</t>
  </si>
  <si>
    <t>"The dream in TEARS contains"</t>
  </si>
  <si>
    <t>"The Logos came into our world"</t>
  </si>
  <si>
    <t>"The money, 'cabillaro' dream"</t>
  </si>
  <si>
    <t>Letter to Gene  Savoy</t>
  </si>
  <si>
    <t>"Watching the TV program about Dietrich Bonhoffer" (repeated twice)</t>
  </si>
  <si>
    <t>"There is an implication"</t>
  </si>
  <si>
    <t>"The three lights coming on"</t>
  </si>
  <si>
    <t>"The one melancholy aspect"</t>
  </si>
  <si>
    <t>"But subjectively speaking"</t>
  </si>
  <si>
    <t>"Augustine says that at the Parousia". P3 lacking or enumeration skipped.</t>
  </si>
  <si>
    <t>"Afterword"</t>
  </si>
  <si>
    <t>"Holy spirit -- born from above"</t>
  </si>
  <si>
    <t>9 + 1</t>
  </si>
  <si>
    <t>typed letter to Dorothy</t>
  </si>
  <si>
    <t>"I had the most extraordinary dream"</t>
  </si>
  <si>
    <t>"I have come up with a new theory to explain"</t>
  </si>
  <si>
    <t>"For God did not make death"</t>
  </si>
  <si>
    <t>"All those written pages". 3-4 lacking or enumeration skipped.</t>
  </si>
  <si>
    <t>"The Logos came into our world" (repeated from above?)</t>
  </si>
  <si>
    <t>"The dream in TEARS contains" (repeated from above)</t>
  </si>
  <si>
    <t>"So the inner-outer clock time". Mentions "nearly 5 years"</t>
  </si>
  <si>
    <t>"regarding the invading entity". Mentions "almost 5 years now"</t>
  </si>
  <si>
    <t>"Fat later developed"</t>
  </si>
  <si>
    <t>"In 3-74 that which was in me"</t>
  </si>
  <si>
    <t>nn[2]</t>
  </si>
  <si>
    <t>"Halving" (PW placed this in sequence with third section of 10 below)</t>
  </si>
  <si>
    <t>"The incarnation was a revolt" (PW placed this before the rest of the folder, with "halving" as p.1). P. numbered 47 contains date information.</t>
  </si>
  <si>
    <t>Some numbering irregularities.</t>
  </si>
  <si>
    <t>"Hypnagogic thought: Zebra". P24 lacking, probably just skipped in enumeration.</t>
  </si>
  <si>
    <t>PJ/JL date</t>
  </si>
  <si>
    <t>"includes letters - 1 -- that may be transferred out of Exegesis file - found together in stack". PW gives a detailed list of letters, so this is reconstructable.</t>
  </si>
  <si>
    <t>1974-1975</t>
  </si>
  <si>
    <t>1975-1976</t>
  </si>
  <si>
    <t>Nov-Dec 1976</t>
  </si>
  <si>
    <t>Selections in published E. Probably reviewed prior to Zebrapedia project and hence excluded.</t>
  </si>
  <si>
    <t>Jan-Feb 1977</t>
  </si>
  <si>
    <t>Jun-Jul 1977</t>
  </si>
  <si>
    <t>Aug-Sept 1977</t>
  </si>
  <si>
    <t>Nov 19 1977</t>
  </si>
  <si>
    <t>1978 (early)</t>
  </si>
  <si>
    <t>Mar-Apr 1978</t>
  </si>
  <si>
    <t>Jun-Jul 1978</t>
  </si>
  <si>
    <t>Selections in published E.</t>
  </si>
  <si>
    <t>Sept-Oct 1978</t>
  </si>
  <si>
    <t>Oct 18 1977</t>
  </si>
  <si>
    <t>Oct-Nov 1978</t>
  </si>
  <si>
    <t>1978-12</t>
  </si>
  <si>
    <t>1979-early (1)</t>
  </si>
  <si>
    <t>1979-early (2)</t>
  </si>
  <si>
    <t>1979-early (3)</t>
  </si>
  <si>
    <t>1979-early (4)</t>
  </si>
  <si>
    <t>Selections in published E</t>
  </si>
  <si>
    <t>Selections in published E (1200p sequence)</t>
  </si>
  <si>
    <t>1980-01</t>
  </si>
  <si>
    <t>Jan-Apr 1980</t>
  </si>
  <si>
    <t>Jun-Oct 1980</t>
  </si>
  <si>
    <t>Oct-Nov 1980</t>
  </si>
  <si>
    <t>Nov-Dec 1980</t>
  </si>
  <si>
    <t>Jan-Apr 1981</t>
  </si>
  <si>
    <t>1981-04</t>
  </si>
  <si>
    <t>1981-05</t>
  </si>
  <si>
    <t>1981-early (1)</t>
  </si>
  <si>
    <t>1981-early (2)</t>
  </si>
  <si>
    <t>1981-early (3)</t>
  </si>
  <si>
    <t>1981-early (4)</t>
  </si>
  <si>
    <t>1981-early (6)</t>
  </si>
  <si>
    <t>1981-early (5)</t>
  </si>
  <si>
    <t>1981-06</t>
  </si>
  <si>
    <t>1981-09</t>
  </si>
  <si>
    <t>Fall 1981 (1)</t>
  </si>
  <si>
    <t>Fall 1981 (2)</t>
  </si>
  <si>
    <t>Aug-Dec 1981</t>
  </si>
  <si>
    <t>Dec 1981-Feb 1982</t>
  </si>
  <si>
    <t>inferred/PJ-JL</t>
  </si>
  <si>
    <t>PJ-JL</t>
  </si>
  <si>
    <t>50 + 3</t>
  </si>
  <si>
    <t>1979 (early)</t>
  </si>
  <si>
    <t>76-78 lacking or skipped in enumeration</t>
  </si>
  <si>
    <t>p.52 repeated in enumeration</t>
  </si>
  <si>
    <t>57 repeated in enumeration</t>
  </si>
  <si>
    <t>Oct 10 1978</t>
  </si>
  <si>
    <t>PW calls for an additional 29 pages of this sequence.</t>
  </si>
  <si>
    <t>PW calls for an additional 19 pages of this sequence.</t>
  </si>
  <si>
    <t>PDF/PW discrepancy</t>
  </si>
  <si>
    <t>4 pages inserted at p.70 (footnotes?)</t>
  </si>
  <si>
    <t>"II"</t>
  </si>
  <si>
    <t>"V". Concludes: "THE END"</t>
  </si>
  <si>
    <t>107 + 3 inserted, 1 duplicated enumeration</t>
  </si>
  <si>
    <t>51 + 1 doubled number</t>
  </si>
  <si>
    <t>81 lacking or skipped</t>
  </si>
  <si>
    <t>Star Wars. One number duplicated in enumeration</t>
  </si>
  <si>
    <t>One number duplicated in enumeration</t>
  </si>
  <si>
    <t>PW, stated?</t>
  </si>
  <si>
    <t>Several pages repeated in enumeration</t>
  </si>
  <si>
    <t>p.15 lacking</t>
  </si>
  <si>
    <t>p.50-51 lacking or skipped in enumeration</t>
  </si>
  <si>
    <t>19 + 13 unnumbered</t>
  </si>
  <si>
    <t>My guess</t>
  </si>
  <si>
    <t>Date based on refs. to Horus, most prevalent in 10/77. Refs to Valis, but not Zebra.</t>
  </si>
  <si>
    <t>2 pages inserted; 171-175 lacking or skipped</t>
  </si>
  <si>
    <t>Continued from Folder 44. Some numbers duplicated in enumeration.</t>
  </si>
  <si>
    <t>1979</t>
  </si>
  <si>
    <t>Continued from folder 45. Some inserted pages and wonky numbering.</t>
  </si>
  <si>
    <t>Continued from folder 47 (lacking). Some wonky enumeration.</t>
  </si>
  <si>
    <t>Continued from folder 48 (p. 1000 lacking)</t>
  </si>
  <si>
    <t>Some inserted material and wonky numbering.</t>
  </si>
  <si>
    <t>Per PW, mostly clippings and xeroxed printed matter</t>
  </si>
  <si>
    <t>A-1</t>
  </si>
  <si>
    <t>A-7</t>
  </si>
  <si>
    <t>B-1</t>
  </si>
  <si>
    <t>B-4 + duplicated page number</t>
  </si>
  <si>
    <t>C-1</t>
  </si>
  <si>
    <t>C-18</t>
  </si>
  <si>
    <t>D-1</t>
  </si>
  <si>
    <t>D-14</t>
  </si>
  <si>
    <t>E-1</t>
  </si>
  <si>
    <t>E-10</t>
  </si>
  <si>
    <t>F-1</t>
  </si>
  <si>
    <t>F-12</t>
  </si>
  <si>
    <t>G-1</t>
  </si>
  <si>
    <t>G-23</t>
  </si>
  <si>
    <t>G-17-G-18 lacking.</t>
  </si>
  <si>
    <t>H-1</t>
  </si>
  <si>
    <t>H-29</t>
  </si>
  <si>
    <t>I-1</t>
  </si>
  <si>
    <t>J-1</t>
  </si>
  <si>
    <t>J-16</t>
  </si>
  <si>
    <t>K-1</t>
  </si>
  <si>
    <t>K-35</t>
  </si>
  <si>
    <t>L-1</t>
  </si>
  <si>
    <t>L-9</t>
  </si>
  <si>
    <t>M-1</t>
  </si>
  <si>
    <t>M-47</t>
  </si>
  <si>
    <t>M-14 skipped or lacking.</t>
  </si>
  <si>
    <t>N-1</t>
  </si>
  <si>
    <t>N-29</t>
  </si>
  <si>
    <t>O-1</t>
  </si>
  <si>
    <t>O-9</t>
  </si>
  <si>
    <t>P-1</t>
  </si>
  <si>
    <t>P-3</t>
  </si>
  <si>
    <t>Q-1</t>
  </si>
  <si>
    <t>Q-5</t>
  </si>
  <si>
    <t>"1-17"</t>
  </si>
  <si>
    <t>Unclear if header is 1, I, or L.</t>
  </si>
  <si>
    <t>"1-42"</t>
  </si>
  <si>
    <t>"2-1"</t>
  </si>
  <si>
    <t>"2-3"</t>
  </si>
  <si>
    <t>"3-1"</t>
  </si>
  <si>
    <t>"3-10"</t>
  </si>
  <si>
    <t>"5-4"</t>
  </si>
  <si>
    <t>"5-7"</t>
  </si>
  <si>
    <t>J-8</t>
  </si>
  <si>
    <t>J-9</t>
  </si>
  <si>
    <t>"1-10"</t>
  </si>
  <si>
    <t>"1-19"</t>
  </si>
  <si>
    <t>X-4</t>
  </si>
  <si>
    <t>X-15</t>
  </si>
  <si>
    <t>Y-1</t>
  </si>
  <si>
    <t>Y-4</t>
  </si>
  <si>
    <t>Z-1</t>
  </si>
  <si>
    <t>Z-20</t>
  </si>
  <si>
    <t>Some page numbers duplicated in enumeration. Reordered from PDF to put these back together (as in PW)</t>
  </si>
  <si>
    <t>D-60</t>
  </si>
  <si>
    <t>D-148</t>
  </si>
  <si>
    <t>Reordered PDF to put back in sequence. Continued from D-1 to D-14 sequence? Or new D sequence?</t>
  </si>
  <si>
    <t>Letter to Pat Warrick</t>
  </si>
  <si>
    <t>Paul Tillich</t>
  </si>
  <si>
    <t>Inferred</t>
  </si>
  <si>
    <t>Typed letter to Pat [Warrick]</t>
  </si>
  <si>
    <t>Typed letter to Russ Galen</t>
  </si>
  <si>
    <t>Typed quotated passages from Paul Tillich</t>
  </si>
  <si>
    <t>Typed letter to Ed Meskys</t>
  </si>
  <si>
    <t>Typed signed statement</t>
  </si>
  <si>
    <t>[4]</t>
  </si>
  <si>
    <t>[1]</t>
  </si>
  <si>
    <t>Typed statements, 1 signed.</t>
  </si>
  <si>
    <t>F-32</t>
  </si>
  <si>
    <t>Feb. 1982</t>
  </si>
  <si>
    <t>Some pages put back in sequence in PDF. G-10 to G-13 lacking or skipped in enumeration.</t>
  </si>
  <si>
    <t>G-36</t>
  </si>
  <si>
    <t>H-5 to H-9, H-27-28 lacking or skipped in enumeration.</t>
  </si>
  <si>
    <t>H-32</t>
  </si>
  <si>
    <t>Inferred (Assumed to follow folder 55 "D" sequence, ca. Dec.81-Feb.82)</t>
  </si>
  <si>
    <t>J-39</t>
  </si>
  <si>
    <t>7, 11, 19</t>
  </si>
  <si>
    <t>L-6</t>
  </si>
  <si>
    <t>PW calls this C-1 to C-6, but I think it is an "L" and follows J and the implied K above.</t>
  </si>
  <si>
    <t>Typed with manu. Annotations</t>
  </si>
  <si>
    <t>Mixed typed &amp; manuscript</t>
  </si>
  <si>
    <t>"1-16"</t>
  </si>
  <si>
    <t>Dec. 1981</t>
  </si>
  <si>
    <t>A-2</t>
  </si>
  <si>
    <t>Q-7</t>
  </si>
  <si>
    <t>Q-45</t>
  </si>
  <si>
    <t>I believe this continues the sequence in folder 55 above. Some pages lacking or skipped in enumeration</t>
  </si>
  <si>
    <t>R-1</t>
  </si>
  <si>
    <t>R-4</t>
  </si>
  <si>
    <t>S-2</t>
  </si>
  <si>
    <t>S-6</t>
  </si>
  <si>
    <t>One page skipped or lacking</t>
  </si>
  <si>
    <t>Cosmogony and cosmology</t>
  </si>
  <si>
    <t>C-29</t>
  </si>
  <si>
    <t>C-100</t>
  </si>
  <si>
    <t>C-155</t>
  </si>
  <si>
    <t>C-221</t>
  </si>
  <si>
    <t>D-59</t>
  </si>
  <si>
    <t>D-149</t>
  </si>
  <si>
    <t>PJ-JL/Inferred</t>
  </si>
  <si>
    <t>D-21 to D-26 lacking or skipped, D-55 skipped. Continues with D-60 from folder 55</t>
  </si>
  <si>
    <t>Continues from D-148 in folder 55</t>
  </si>
  <si>
    <t>D-153</t>
  </si>
  <si>
    <t>E-28</t>
  </si>
  <si>
    <t>E-92</t>
  </si>
  <si>
    <t>E-104</t>
  </si>
  <si>
    <t>E-22</t>
  </si>
  <si>
    <t>E-23</t>
  </si>
  <si>
    <t>Relation to the rest of this E sequence unclear.</t>
  </si>
  <si>
    <t>K-2</t>
  </si>
  <si>
    <t>K-109</t>
  </si>
  <si>
    <t>K-122</t>
  </si>
  <si>
    <t>K-127</t>
  </si>
  <si>
    <t>K-134</t>
  </si>
  <si>
    <t>K-135</t>
  </si>
  <si>
    <t>K-193</t>
  </si>
  <si>
    <t>K-201</t>
  </si>
  <si>
    <t>K-216</t>
  </si>
  <si>
    <t>K-264 to K-266 duplicated in a WEIRD way! He has rewritten part of the same content-- how different does it become? Some other pages numbers skipped or duplicated. K-354 includes a subsequence: K-354A to K-354R</t>
  </si>
  <si>
    <t>K-391</t>
  </si>
  <si>
    <t>27 [i.e. 26]</t>
  </si>
  <si>
    <t>The ultra hidden (cryptic) doctrine</t>
  </si>
  <si>
    <t>8 [i.e. 9]</t>
  </si>
  <si>
    <t>6 plus 1</t>
  </si>
  <si>
    <t>[6]</t>
  </si>
  <si>
    <t>inferred and approximate</t>
  </si>
  <si>
    <t>"The time you have waited for has come… He has been transplanted and is alive"</t>
  </si>
  <si>
    <t>[40]</t>
  </si>
  <si>
    <t>1 plus 1 handwritten</t>
  </si>
  <si>
    <t>typed + handwritten</t>
  </si>
  <si>
    <t>Typed, then manscript</t>
  </si>
  <si>
    <t>"XIX". One page is counted as two</t>
  </si>
  <si>
    <t>"XX."</t>
  </si>
  <si>
    <t>Handwritten with some typed pages inserted (with added page numbers)</t>
  </si>
  <si>
    <t>30 plus 1</t>
  </si>
  <si>
    <t>"XXI"</t>
  </si>
  <si>
    <t>p. 1 lacking.</t>
  </si>
  <si>
    <t>"XXII." "Notes made immediately after the theophany of 11-17-80"</t>
  </si>
  <si>
    <t>835a</t>
  </si>
  <si>
    <t>"Notes to page 858"</t>
  </si>
  <si>
    <t>[12]-15-1980</t>
  </si>
  <si>
    <t>"XXIII"</t>
  </si>
  <si>
    <t>[31]</t>
  </si>
  <si>
    <t>"XXIV"</t>
  </si>
  <si>
    <t>"XXV"</t>
  </si>
  <si>
    <t>Some numbers skipped in enumeration</t>
  </si>
  <si>
    <t>"XXVI"</t>
  </si>
  <si>
    <t>"XXVII"</t>
  </si>
  <si>
    <t>inferred, but may precede 1-4-81 stuff above</t>
  </si>
  <si>
    <t>semi-stated</t>
  </si>
  <si>
    <t>"XXVIII". P.23 is written on a dated letter from Russ Galen</t>
  </si>
  <si>
    <t>"XXIX"</t>
  </si>
  <si>
    <t>A-67</t>
  </si>
  <si>
    <t>"XXX"</t>
  </si>
  <si>
    <t>A-75</t>
  </si>
  <si>
    <t>B-26</t>
  </si>
  <si>
    <t>C-7</t>
  </si>
  <si>
    <t>D-41</t>
  </si>
  <si>
    <t>D-91</t>
  </si>
  <si>
    <t>"XXXI", a bunch of individual pages lacking or skipped</t>
  </si>
  <si>
    <t>D-133</t>
  </si>
  <si>
    <t>D-174</t>
  </si>
  <si>
    <t>"XXXII". Several pages at the end of the PDF are repeats from this sequence</t>
  </si>
  <si>
    <t>"XXXIII". Whitehead, Hartshorne.</t>
  </si>
  <si>
    <t>E-30</t>
  </si>
  <si>
    <t>E-37</t>
  </si>
  <si>
    <t>Part typed, part ms</t>
  </si>
  <si>
    <t>E-5</t>
  </si>
  <si>
    <t>"XXXIV"</t>
  </si>
  <si>
    <t xml:space="preserve">p. 1 of this is also p5 of the previous. One page number lacking or skipped. </t>
  </si>
  <si>
    <t>E-11</t>
  </si>
  <si>
    <t>E-27</t>
  </si>
  <si>
    <t>Part of this moved back into sequence from earlier in PDF.</t>
  </si>
  <si>
    <t>F-19</t>
  </si>
  <si>
    <t>G-34</t>
  </si>
  <si>
    <t>"XXXV"</t>
  </si>
  <si>
    <t>G-39</t>
  </si>
  <si>
    <t>G-43</t>
  </si>
  <si>
    <t>G-148</t>
  </si>
  <si>
    <t>One page number duplicated in sequence</t>
  </si>
  <si>
    <t>"XXXVI"</t>
  </si>
  <si>
    <t>J-63</t>
  </si>
  <si>
    <t>"XXXVI" on J-75. J-76 skipped or lacking</t>
  </si>
  <si>
    <t>J-101A</t>
  </si>
  <si>
    <t>K-110</t>
  </si>
  <si>
    <t>K-121</t>
  </si>
  <si>
    <t>K-128</t>
  </si>
  <si>
    <t>K-134-135, K-148 skipped or lacking.</t>
  </si>
  <si>
    <t>K-192</t>
  </si>
  <si>
    <t>K-202</t>
  </si>
  <si>
    <t>K-215</t>
  </si>
  <si>
    <t>K-392</t>
  </si>
  <si>
    <t>K-411, K-414</t>
  </si>
  <si>
    <t>handwritten, pp.1-65. "Steiner"</t>
  </si>
  <si>
    <t>Typed pages</t>
  </si>
  <si>
    <t>April-June 1978</t>
  </si>
  <si>
    <t>9 handwritten pages. "KW points out"</t>
  </si>
  <si>
    <t>Pages C-8 to C-12, from folder 56.</t>
  </si>
  <si>
    <t>Pages G-10 to G-13</t>
  </si>
  <si>
    <t>Pages H-5 to H-9</t>
  </si>
  <si>
    <t>Pages X-1 to X-3</t>
  </si>
  <si>
    <t>Pages L-1 to L-151</t>
  </si>
  <si>
    <t>Mages M-1 to M-62 incomplete</t>
  </si>
  <si>
    <t>Page P-18 to P-54 very incomplete</t>
  </si>
  <si>
    <t>Pages A-1 to A-7</t>
  </si>
  <si>
    <t>Pages D-1 to D-132 incomplete</t>
  </si>
  <si>
    <t>Pages E-1 to E-21 plus some D pages</t>
  </si>
  <si>
    <t>Pages G-1 to G-47 with a break</t>
  </si>
  <si>
    <t>Pages H-1 to H-6</t>
  </si>
  <si>
    <t>Pages I-1 to I-131</t>
  </si>
  <si>
    <t>Pages J-1 to J-132</t>
  </si>
  <si>
    <t>16 p. of Valis notes</t>
  </si>
  <si>
    <t>Chapter</t>
  </si>
  <si>
    <t>Entry</t>
  </si>
  <si>
    <t>Sentence-open</t>
  </si>
  <si>
    <t>Sentence-close</t>
  </si>
  <si>
    <t>Sutin date</t>
  </si>
  <si>
    <t>Sutin page range</t>
  </si>
  <si>
    <t>Out of memory.</t>
  </si>
  <si>
    <t>1-20.</t>
  </si>
  <si>
    <t>I awoke abruptly to find</t>
  </si>
  <si>
    <t>The summertime to greet</t>
  </si>
  <si>
    <t>20-21.</t>
  </si>
  <si>
    <t>One could assume, I guess, that the divine seed</t>
  </si>
  <si>
    <t>the progeny: Helen of Troy</t>
  </si>
  <si>
    <t>21-23.</t>
  </si>
  <si>
    <t>Every time in my life that I've heard the spirit</t>
  </si>
  <si>
    <t>23-24.</t>
  </si>
  <si>
    <t>Next step upward in human evolution?) Maybe so.</t>
  </si>
  <si>
    <t>Last night (June 2nd) I had a blissful truly</t>
  </si>
  <si>
    <t>a long way to go, yet</t>
  </si>
  <si>
    <t>24-31.</t>
  </si>
  <si>
    <t>Mark 4:11 says that the parables were intended</t>
  </si>
  <si>
    <t>Heraclitus says the Logos can be heard. My goodness.</t>
  </si>
  <si>
    <t>31-32</t>
  </si>
  <si>
    <t>I am thinking back. Sitting with my eyes shut</t>
  </si>
  <si>
    <t>"We shall be like him" 1 JN 3:2</t>
  </si>
  <si>
    <t>32-34.</t>
  </si>
  <si>
    <t>Pain is the good which most effectively</t>
  </si>
  <si>
    <t>34-35</t>
  </si>
  <si>
    <t>and painful it is always good</t>
  </si>
  <si>
    <t>Oh God, I am so weary of this lonely world</t>
  </si>
  <si>
    <t>Klingsor &amp; his castle of iron. Libera me, Domine!</t>
  </si>
  <si>
    <t>Yes, it was a mercy to me</t>
  </si>
  <si>
    <t>Or it all falls. I think it stands</t>
  </si>
  <si>
    <t>35-38.</t>
  </si>
  <si>
    <t>Consider what the Ai voice has said recently</t>
  </si>
  <si>
    <t>I have every reason to believe he picked me</t>
  </si>
  <si>
    <t>38-39.</t>
  </si>
  <si>
    <t>Well, thinking this, about how Zoroastrianism</t>
  </si>
  <si>
    <t>39-41.</t>
  </si>
  <si>
    <t>free way of being, &amp; progressively more so</t>
  </si>
  <si>
    <t>Dream: I am Jerry Lewis</t>
  </si>
  <si>
    <t>The dying leader and his loyal troops</t>
  </si>
  <si>
    <t>What does it mean -- how can it be</t>
  </si>
  <si>
    <t>Und wo? &amp; wie? Die zeit ist heir!</t>
  </si>
  <si>
    <t>41-42</t>
  </si>
  <si>
    <t>How can I ascertain my role?</t>
  </si>
  <si>
    <t>42-43</t>
  </si>
  <si>
    <t>God by ritual identification. Christ, obviously</t>
  </si>
  <si>
    <t>All I really know is that there is another mind</t>
  </si>
  <si>
    <t>a macro-mind that can cause to be whatever he wishes</t>
  </si>
  <si>
    <t>43-44</t>
  </si>
  <si>
    <t>It really does not make sense to say</t>
  </si>
  <si>
    <t>I saw with the ajna eye</t>
  </si>
  <si>
    <t>44-45.</t>
  </si>
  <si>
    <t>God manifested himself to me as the infinite void</t>
  </si>
  <si>
    <t>45-51.</t>
  </si>
  <si>
    <t>Play again. I am waiting.</t>
  </si>
  <si>
    <t>God said that I couldn't know with certainty</t>
  </si>
  <si>
    <t>51-53</t>
  </si>
  <si>
    <t>not conclusive but they are compelling</t>
  </si>
  <si>
    <t>So satan served me up a sophisticated world</t>
  </si>
  <si>
    <t>53-57</t>
  </si>
  <si>
    <t>But someday it will end. END</t>
  </si>
  <si>
    <t>Footnote. My flight expressed</t>
  </si>
  <si>
    <t>59-62.</t>
  </si>
  <si>
    <t>first heard the Ai voice. 35 years!</t>
  </si>
  <si>
    <t>In Ubik the forward moving force</t>
  </si>
  <si>
    <t>63-67</t>
  </si>
  <si>
    <t>It looked out and saw itself</t>
  </si>
  <si>
    <t>My whole God is identified with a vitalizing</t>
  </si>
  <si>
    <t>67-70</t>
  </si>
  <si>
    <t>Orphic: rebirth. Rejuvenation (eternal life)</t>
  </si>
  <si>
    <t>A searingly important realization</t>
  </si>
  <si>
    <t>70-71</t>
  </si>
  <si>
    <t>Which I knew nothing about, when I wrote them</t>
  </si>
  <si>
    <t>If there is, as the Gnostics believe, a blind</t>
  </si>
  <si>
    <t>71-72</t>
  </si>
  <si>
    <t>the BIP is dead &amp; rigid  &amp; mnotonous &amp; simple</t>
  </si>
  <si>
    <t>Definition of what I experienced in 3-74: ZEBRA</t>
  </si>
  <si>
    <t>from info by Valis' perfect memory</t>
  </si>
  <si>
    <t>Here is a modified, more precise model</t>
  </si>
  <si>
    <t>73-74</t>
  </si>
  <si>
    <t>with them. 2 points of overlap.</t>
  </si>
  <si>
    <t>Stigmata portrays the arrogant one</t>
  </si>
  <si>
    <t>the heroic deed(s) done, the PTG).</t>
  </si>
  <si>
    <t>75-76</t>
  </si>
  <si>
    <t>By the very nature it is deus absconditus</t>
  </si>
  <si>
    <t>I did know-- I did understand</t>
  </si>
  <si>
    <t>76-77</t>
  </si>
  <si>
    <t>Ecce Deum drawing</t>
  </si>
  <si>
    <t>K. W. has noted a resemblance between</t>
  </si>
  <si>
    <t>Burroughs' novel is relaetd to Ubik and Stigmata via the 3-74 experience</t>
  </si>
  <si>
    <t>77-78</t>
  </si>
  <si>
    <t>Criminal Virus drawings</t>
  </si>
  <si>
    <t>The criminal virus controls by occluding</t>
  </si>
  <si>
    <t>i.e., immortality is possible</t>
  </si>
  <si>
    <t>Zebra is the supreme deity &amp; savior-messenger</t>
  </si>
  <si>
    <t>trashy form, like in Ubik</t>
  </si>
  <si>
    <t>Something ("Y") is recognized</t>
  </si>
  <si>
    <t>offshoot I passed over into paradise</t>
  </si>
  <si>
    <t>79-80</t>
  </si>
  <si>
    <t>It can be said that the yin part "hatched"</t>
  </si>
  <si>
    <t>80-81</t>
  </si>
  <si>
    <t>latter is alien to the N.T. God</t>
  </si>
  <si>
    <t>My life has divided this way</t>
  </si>
  <si>
    <t>Thus I returned to God &amp; entered the Kingdom</t>
  </si>
  <si>
    <t>In schizophrenia the synchronization of inner</t>
  </si>
  <si>
    <t>81-82</t>
  </si>
  <si>
    <t>received, since it is God himself</t>
  </si>
  <si>
    <t>Tears showed I had vestigal memories before</t>
  </si>
  <si>
    <t>82-83</t>
  </si>
  <si>
    <t>Can the Black Iron world come back?</t>
  </si>
  <si>
    <t>The creator can afford to descend</t>
  </si>
  <si>
    <t>83-85</t>
  </si>
  <si>
    <t>patron God of small trapped animals</t>
  </si>
  <si>
    <t>Kerygma understood as of October 18 1978</t>
  </si>
  <si>
    <t>Original early Christian disciples are still alive</t>
  </si>
  <si>
    <t>A revised (?) theory as to who-what Zebra is</t>
  </si>
  <si>
    <t>85-87</t>
  </si>
  <si>
    <t>87-89</t>
  </si>
  <si>
    <t>Thus God speaks to us by our right hemispheres</t>
  </si>
  <si>
    <t>"Jesus Christ" is a code name for this rational</t>
  </si>
  <si>
    <t>older than the original self</t>
  </si>
  <si>
    <t>89-90</t>
  </si>
  <si>
    <t>So irreality &amp; perturbation are the two</t>
  </si>
  <si>
    <t>logically can it be all three? Well, it is)</t>
  </si>
  <si>
    <t>90-91</t>
  </si>
  <si>
    <t>Plundering the antecedent universe as stockpile</t>
  </si>
  <si>
    <t>91-93</t>
  </si>
  <si>
    <t>against all normal (usual) perception</t>
  </si>
  <si>
    <t>On the journey of the soul</t>
  </si>
  <si>
    <t>93-98</t>
  </si>
  <si>
    <t>psychosis, must be regarded as weak</t>
  </si>
  <si>
    <t>Two systems of information intersecting one</t>
  </si>
  <si>
    <t>98-100</t>
  </si>
  <si>
    <t>Ubik; and it is true</t>
  </si>
  <si>
    <t>The secret: is to view something "from the other</t>
  </si>
  <si>
    <t>100-101</t>
  </si>
  <si>
    <t>blind you as does the "is"</t>
  </si>
  <si>
    <t>Plato specifically says that it is by anamnesis</t>
  </si>
  <si>
    <t>101-102</t>
  </si>
  <si>
    <t>The (golden) fish sign causes you to remember</t>
  </si>
  <si>
    <t>you are not of this world</t>
  </si>
  <si>
    <t>102-103</t>
  </si>
  <si>
    <t>Here is the puzzle of Valis</t>
  </si>
  <si>
    <t>103-104</t>
  </si>
  <si>
    <t>At least not until we wake up</t>
  </si>
  <si>
    <t>God: a principle of selection that promotes design</t>
  </si>
  <si>
    <t>The two are the same</t>
  </si>
  <si>
    <t>Sequence: Anamnesis due to external</t>
  </si>
  <si>
    <t>That's how I feel about them, in a way</t>
  </si>
  <si>
    <t>104-107</t>
  </si>
  <si>
    <t>I have the ingredients for an original system</t>
  </si>
  <si>
    <t>107-112</t>
  </si>
  <si>
    <t>eidos must be. This is my task</t>
  </si>
  <si>
    <t>I was gazing at Harvey tonight</t>
  </si>
  <si>
    <t>112-113</t>
  </si>
  <si>
    <t>how the superimposition works</t>
  </si>
  <si>
    <t>I just had this insight. However vivid</t>
  </si>
  <si>
    <t>113-114</t>
  </si>
  <si>
    <t>in order to communciate to me</t>
  </si>
  <si>
    <t>So you have the granting of the apocalyptic</t>
  </si>
  <si>
    <t>promise, on the part of God</t>
  </si>
  <si>
    <t>115-116</t>
  </si>
  <si>
    <t>So the truly ultimate solution</t>
  </si>
  <si>
    <t>116-117</t>
  </si>
  <si>
    <t>i.e, sanity at last</t>
  </si>
  <si>
    <t>Tug. Valence, the way. Influence on the reality field</t>
  </si>
  <si>
    <t>heaven fills up the empty</t>
  </si>
  <si>
    <t>117-118</t>
  </si>
  <si>
    <t>I have been searching all my life for the benchmarks of God</t>
  </si>
  <si>
    <t>"move" faster than what it controls</t>
  </si>
  <si>
    <t>The term -- the concept-- Ditheon</t>
  </si>
  <si>
    <t>fields both share, both report</t>
  </si>
  <si>
    <t>118-119</t>
  </si>
  <si>
    <t>119-121</t>
  </si>
  <si>
    <t>There are two sources to our world</t>
  </si>
  <si>
    <t>lower realm but the mixture of the two</t>
  </si>
  <si>
    <t>121-122</t>
  </si>
  <si>
    <t>The discovery of an organization hyper-structure</t>
  </si>
  <si>
    <t>deserved of our profoundest attention</t>
  </si>
  <si>
    <t>122-123</t>
  </si>
  <si>
    <t>The following line of reasoning is correct</t>
  </si>
  <si>
    <t>spatiotemporal phenomenal universe we see</t>
  </si>
  <si>
    <t>123-125</t>
  </si>
  <si>
    <t>It seems a small thing to say, but I say</t>
  </si>
  <si>
    <t>125-126</t>
  </si>
  <si>
    <t>as total insubstantial abstract structure</t>
  </si>
  <si>
    <t>If the abstract structure of reality</t>
  </si>
  <si>
    <t>This is Pythagoras, not Plato</t>
  </si>
  <si>
    <t>127-128</t>
  </si>
  <si>
    <t>The agent of creation is its own structure</t>
  </si>
  <si>
    <t>128-130</t>
  </si>
  <si>
    <t>Pythagoras and Plato, perhaps without knowing it</t>
  </si>
  <si>
    <t>A final point: the world transformed</t>
  </si>
  <si>
    <t>healing; it is repair</t>
  </si>
  <si>
    <t xml:space="preserve"> My very recent book dream</t>
  </si>
  <si>
    <t>131-132</t>
  </si>
  <si>
    <t>against Marxism as one form of it</t>
  </si>
  <si>
    <t>Thinking back over my life</t>
  </si>
  <si>
    <t>132-138</t>
  </si>
  <si>
    <t>dead matter, i.e., Zebra</t>
  </si>
  <si>
    <t>I, who was not a legitimate member</t>
  </si>
  <si>
    <t>138-140</t>
  </si>
  <si>
    <t>imposed on reality - mind over matter</t>
  </si>
  <si>
    <t>Valis is the real &amp; rational</t>
  </si>
  <si>
    <t>140-144</t>
  </si>
  <si>
    <t>Eigenwelt by sharing it via the art with others</t>
  </si>
  <si>
    <t>So the BIP is an ossified complex in the macromind</t>
  </si>
  <si>
    <t>144-145</t>
  </si>
  <si>
    <t>i.e., the cmoplex (BIP)!!!!</t>
  </si>
  <si>
    <t>All my writing, in which irreal, forgery</t>
  </si>
  <si>
    <t>145-148</t>
  </si>
  <si>
    <t>seriously (sic) believe this?</t>
  </si>
  <si>
    <t>The mad god James-James began</t>
  </si>
  <si>
    <t>148-151</t>
  </si>
  <si>
    <t>infinitude of them, like so many skins</t>
  </si>
  <si>
    <t>Thought (Satori): Dedalus &amp; the maze</t>
  </si>
  <si>
    <t>151-152</t>
  </si>
  <si>
    <t>function of the maze; its internalization</t>
  </si>
  <si>
    <t xml:space="preserve">But are you writing something serious? </t>
  </si>
  <si>
    <t>152-153</t>
  </si>
  <si>
    <t>some other way, &amp; let them be happy</t>
  </si>
  <si>
    <t>The fact that after 4 1/2 years of strenuous exegete</t>
  </si>
  <si>
    <t>153-155</t>
  </si>
  <si>
    <t>reward, the revelation you get for so doing</t>
  </si>
  <si>
    <t>Rightly, I. seek beauty like Parsival</t>
  </si>
  <si>
    <t>I am an analyzer</t>
  </si>
  <si>
    <t>Ah! Realm I is at CAD 45</t>
  </si>
  <si>
    <t>I've done my best</t>
  </si>
  <si>
    <t>155-156</t>
  </si>
  <si>
    <t>This is the paradox of, "Where should you most expect</t>
  </si>
  <si>
    <t>Message-processing, Ubik-like ultimate entity</t>
  </si>
  <si>
    <t>156-157</t>
  </si>
  <si>
    <t>Then the illusions of space, time, world, causality</t>
  </si>
  <si>
    <t>It began in that moment, forty years ago</t>
  </si>
  <si>
    <t>157-158</t>
  </si>
  <si>
    <t>Premise: Things are inside out</t>
  </si>
  <si>
    <t>Bits &amp; pieces swept together to form a unity</t>
  </si>
  <si>
    <t>158-160</t>
  </si>
  <si>
    <t>So if you push essence far enough</t>
  </si>
  <si>
    <t>Who is it? What is it? I don't know</t>
  </si>
  <si>
    <t>I'm an addict; I'm addicted to infinity</t>
  </si>
  <si>
    <t>because it gives me pleasure</t>
  </si>
  <si>
    <t>I can say no more. What I have done</t>
  </si>
  <si>
    <t>161-163</t>
  </si>
  <si>
    <t>what I comprehended in 2-74</t>
  </si>
  <si>
    <t>Illumination: April Friday night 4:45 a.m., the 3rd, 1981</t>
  </si>
  <si>
    <t>in meekness!!!) The Gentle.</t>
  </si>
  <si>
    <t>So Joint, Eye, Stigmata, Ubik, Maze &amp; Tears are progressive</t>
  </si>
  <si>
    <t>165-168</t>
  </si>
  <si>
    <t>self deception on our parts) is involved</t>
  </si>
  <si>
    <t>In TIME OUT OF JOINT the world is a fake</t>
  </si>
  <si>
    <t>168-169</t>
  </si>
  <si>
    <t>The bible is a door (3:5?)</t>
  </si>
  <si>
    <t>One fascinating aspect of Ubik is disclosed</t>
  </si>
  <si>
    <t>169-173</t>
  </si>
  <si>
    <t>interesting typo; I mean "us," not "up").</t>
  </si>
  <si>
    <t>So that's what I did in Ubik -- correctly represented</t>
  </si>
  <si>
    <t>173-174</t>
  </si>
  <si>
    <t>therefrom, as put forth in Valis</t>
  </si>
  <si>
    <t>Okay, Watergate got us out of S.E. Asia</t>
  </si>
  <si>
    <t>174-175</t>
  </si>
  <si>
    <t>&amp; stayed on to 74 and Tears</t>
  </si>
  <si>
    <t>God, all my "this is illusion" writing</t>
  </si>
  <si>
    <t>175-176</t>
  </si>
  <si>
    <t>Could the two worlds be regarded as two domains?</t>
  </si>
  <si>
    <t>God, I have broken myself in this pursuit over 27 years</t>
  </si>
  <si>
    <t>soul. "Men like to sleep."</t>
  </si>
  <si>
    <t>Eye, Joint, 3 Stigmata, Ubik &amp; Maze are the same novel written over &amp; over again</t>
  </si>
  <si>
    <t>177-178</t>
  </si>
  <si>
    <t>one or more Great Esoteric Secrets</t>
  </si>
  <si>
    <t>To repeat myself - all this implies that the intervention</t>
  </si>
  <si>
    <t>was what it was all about</t>
  </si>
  <si>
    <t>178-179</t>
  </si>
  <si>
    <t>Like Garson Poole I may have changed my inner</t>
  </si>
  <si>
    <t>so saw something different</t>
  </si>
  <si>
    <t>Scanner as I've said before is the other half</t>
  </si>
  <si>
    <t>179-183</t>
  </si>
  <si>
    <t>bride, wedded to Christ as Bridegroom</t>
  </si>
  <si>
    <t>It's odd that it's mainly in the 3 Bantam books</t>
  </si>
  <si>
    <t>183-185</t>
  </si>
  <si>
    <t>has power over our perceptions. (As in Stigmata.)</t>
  </si>
  <si>
    <t>Stigmata is a Satanic Bible: the novel</t>
  </si>
  <si>
    <t>an antitoxic, de-occlusive</t>
  </si>
  <si>
    <t>Ah! In Ubik locating the Ubik messages</t>
  </si>
  <si>
    <t>unless it were true</t>
  </si>
  <si>
    <t>The "information virus" Zebra destroys the 4-pronged</t>
  </si>
  <si>
    <t>eleven novels, four stories (for openers)</t>
  </si>
  <si>
    <t>185-186</t>
  </si>
  <si>
    <t>Leo Bulero defeating Palmer Eldritch</t>
  </si>
  <si>
    <t>186-187</t>
  </si>
  <si>
    <t>5th Savior whose coming is imminent</t>
  </si>
  <si>
    <t>In some respects, Eye is the most accurate</t>
  </si>
  <si>
    <t>187-189</t>
  </si>
  <si>
    <t>something else must actually be there</t>
  </si>
  <si>
    <t>He is here, not here, there, not there</t>
  </si>
  <si>
    <t>He may resemble Runciter</t>
  </si>
  <si>
    <t>Thoughts upon reading the first half of Valis</t>
  </si>
  <si>
    <t>189-191</t>
  </si>
  <si>
    <t>may have been to produce Valis</t>
  </si>
  <si>
    <t>A close reading of MITHC shows it is not an alternate</t>
  </si>
  <si>
    <t>future but the true state of affairs</t>
  </si>
  <si>
    <t>191-192</t>
  </si>
  <si>
    <t>reality-- My God; it's specifically stipulated that Ubik</t>
  </si>
  <si>
    <t>freed me of in 2-74</t>
  </si>
  <si>
    <t>192-193</t>
  </si>
  <si>
    <t>Consider my boundless &amp; insatiable interest</t>
  </si>
  <si>
    <t>when I used to buy dope</t>
  </si>
  <si>
    <t>193-194</t>
  </si>
  <si>
    <t>I just now looked over DI. As I recently realized</t>
  </si>
  <si>
    <t>194-195</t>
  </si>
  <si>
    <t>to Kabala, the future, fantasy</t>
  </si>
  <si>
    <t>Galactic Pot-Healer shows the very real possibility of encroaching madness</t>
  </si>
  <si>
    <t>195-199</t>
  </si>
  <si>
    <t>my sanity depended on my writing</t>
  </si>
  <si>
    <t>Break the power of fake world by means of info</t>
  </si>
  <si>
    <t>199-201</t>
  </si>
  <si>
    <t>Valis in itself means nothing!</t>
  </si>
  <si>
    <t>DI is a conventional romance exactly as John Clute</t>
  </si>
  <si>
    <t>seeks &amp; finds an answer</t>
  </si>
  <si>
    <t>The issue is not reality or ontology</t>
  </si>
  <si>
    <t>201-202</t>
  </si>
  <si>
    <t>is a fucking fool! Robert Anton Wilson is right.</t>
  </si>
  <si>
    <t>2-3-74: I was bewitched. The purpose: to re-create</t>
  </si>
  <si>
    <t>This is 2-3-74.</t>
  </si>
  <si>
    <t>I started to reread Valis but this time</t>
  </si>
  <si>
    <t>202-203</t>
  </si>
  <si>
    <t>It is in the Gospel. But obliquely.</t>
  </si>
  <si>
    <t>Novel plot, the twin-brains/minds</t>
  </si>
  <si>
    <t>205-216</t>
  </si>
  <si>
    <t>"jumped back 2000 years." "yes." He nodded.</t>
  </si>
  <si>
    <t>1a</t>
  </si>
  <si>
    <t>Plot: It turns out the message which Albemuth is signalling</t>
  </si>
  <si>
    <t>216-220</t>
  </si>
  <si>
    <t>is Dion who takes him personally over.</t>
  </si>
  <si>
    <t xml:space="preserve">Fat later developed a theory that the universe is </t>
  </si>
  <si>
    <t>220-224</t>
  </si>
  <si>
    <t>would soon walk the earth. Once more.</t>
  </si>
  <si>
    <t>Bishop Timothy Archer. Mary Ann Domingo.</t>
  </si>
  <si>
    <t>224-227</t>
  </si>
  <si>
    <t>hostile &amp; suspicious &amp; an atheist</t>
  </si>
  <si>
    <t>Bishop Tim Archer. I'm going to assign him as his major view</t>
  </si>
  <si>
    <t>228-232</t>
  </si>
  <si>
    <t>Dwight Way off Sacramento that she &amp; her husband owned.</t>
  </si>
  <si>
    <t>July 8, 1974. The first day of the Constitutional Crisis.</t>
  </si>
  <si>
    <t>233-237</t>
  </si>
  <si>
    <t>It must be back for a reason</t>
  </si>
  <si>
    <t>I can suppose no explanation but the Gnostic one</t>
  </si>
  <si>
    <t>237-239</t>
  </si>
  <si>
    <t>not disclosed to the world his presence (yet)</t>
  </si>
  <si>
    <t>I must ask what God wants of me</t>
  </si>
  <si>
    <t>239-240</t>
  </si>
  <si>
    <t>sentient, unitary, &amp; its psyche is Christ himself</t>
  </si>
  <si>
    <t>Listening to the Platt tape I construe</t>
  </si>
  <si>
    <t>241-246</t>
  </si>
  <si>
    <t>What does this point to? To my sister.</t>
  </si>
  <si>
    <t>Does someone (Divine) speak to me?</t>
  </si>
  <si>
    <t>246-247</t>
  </si>
  <si>
    <t>moral act vis-à-vis Covenant House</t>
  </si>
  <si>
    <t>For God did not make death</t>
  </si>
  <si>
    <t>249-250</t>
  </si>
  <si>
    <t>see him unexpectedly safe home</t>
  </si>
  <si>
    <t>This is not an evil world, as Mani</t>
  </si>
  <si>
    <t>big-small me-not me will be transcended</t>
  </si>
  <si>
    <t>250-251</t>
  </si>
  <si>
    <t>Here is an example of hierarchical ranking. A new ambulance</t>
  </si>
  <si>
    <t>subsumation, and in no other way</t>
  </si>
  <si>
    <t>Sequence</t>
  </si>
  <si>
    <t>Identified folder and page</t>
  </si>
  <si>
    <t>Opening line</t>
  </si>
  <si>
    <t>Closing line</t>
  </si>
  <si>
    <t>Pages</t>
  </si>
  <si>
    <t>4:1</t>
  </si>
  <si>
    <t>In Ubik the forward moving</t>
  </si>
  <si>
    <t>4:?</t>
  </si>
  <si>
    <t>looked out and saw itself</t>
  </si>
  <si>
    <t>your opinion uniquely</t>
  </si>
  <si>
    <t>Dear Claudia, Since I last wrote you (sending</t>
  </si>
  <si>
    <t>Note</t>
  </si>
  <si>
    <t>Letter to Peter Fitting 6/28/74</t>
  </si>
  <si>
    <t>Letter to Claudia Bush 7/5/74</t>
  </si>
  <si>
    <t>you have nothing planned?</t>
  </si>
  <si>
    <t>Dear Claudia, […] Inasmuch as Iv'e delighted you</t>
  </si>
  <si>
    <t>Letter to Claudia Bush 7/13/74</t>
  </si>
  <si>
    <t>The best psychiatrist I ever saw</t>
  </si>
  <si>
    <t>Out of memory</t>
  </si>
  <si>
    <t>Sutin pp1-20</t>
  </si>
  <si>
    <t>Dear Claudia, I think I've solved what's been in my head</t>
  </si>
  <si>
    <t>Letter to Claudia Bush 7/22/74</t>
  </si>
  <si>
    <t>I sure have odd nights.</t>
  </si>
  <si>
    <t>Sutin or other correlation</t>
  </si>
  <si>
    <t>Selected Letters 6/28/74 (I trust)</t>
  </si>
  <si>
    <t>Selected Letters 7/5/74 (I trust)</t>
  </si>
  <si>
    <t>Selected Letters 7/13/74 (I trust)</t>
  </si>
  <si>
    <t>Selected Letters 7/22/74 (I trust)</t>
  </si>
  <si>
    <t>Dear Claudia, I will xerox the Philip Purser</t>
  </si>
  <si>
    <t>Letter to Claudia Bush 7/24/74</t>
  </si>
  <si>
    <t>Selected Letters 7/24/74 (I trust)</t>
  </si>
  <si>
    <t>Freudian slip; sorry. Write any time.</t>
  </si>
  <si>
    <t>Dear Claudia, Claudia! Another letter!</t>
  </si>
  <si>
    <t>Demeter for instance</t>
  </si>
  <si>
    <t>The Other is not any one thing</t>
  </si>
  <si>
    <t>This is the Logos perhaps</t>
  </si>
  <si>
    <t>Dear Ursula, I just sent you a big manila envelope</t>
  </si>
  <si>
    <t>Letter to Ursula Le Guin 9/23/74</t>
  </si>
  <si>
    <t>Selected Letters 9/23/74 (I trust)</t>
  </si>
  <si>
    <t>always clearly at the future</t>
  </si>
  <si>
    <t>Dear Claudia, The other day I lay down</t>
  </si>
  <si>
    <t>Letter to Claudia Bush 9/26/74</t>
  </si>
  <si>
    <t>Selected Letters 9/26/74 (I trust)</t>
  </si>
  <si>
    <t>all move into action</t>
  </si>
  <si>
    <t>Dear Claudia, Can I rattle on some more</t>
  </si>
  <si>
    <t>Letter to Claudia Bush 11/29/74</t>
  </si>
  <si>
    <t>Selected Letters 11/29/74 (I trust)</t>
  </si>
  <si>
    <t>and he'll have had it</t>
  </si>
  <si>
    <t>Dear Claudia, I just wrote Diane Pike</t>
  </si>
  <si>
    <t>Letter to Claudia Bush 11/30/74</t>
  </si>
  <si>
    <t>Selected Letters 11/30/74 (I trust)</t>
  </si>
  <si>
    <t>results are outta sight</t>
  </si>
  <si>
    <t>A human being is a material system</t>
  </si>
  <si>
    <t>Or however.</t>
  </si>
  <si>
    <t>The right hemisphere is the seat</t>
  </si>
  <si>
    <t>outer ones together</t>
  </si>
  <si>
    <t>Jesus said to the disciples</t>
  </si>
  <si>
    <t>Enclosed with Jan. 27, 1975 letter to Williams</t>
  </si>
  <si>
    <t>me-not me will be transcended</t>
  </si>
  <si>
    <t>Sutin 250-251</t>
  </si>
  <si>
    <t>Dear Malcolm, […] One thing I've meant to write you</t>
  </si>
  <si>
    <t>Selected Letters 1/29/75 (I trust)</t>
  </si>
  <si>
    <t>Thank you for your article on Tears</t>
  </si>
  <si>
    <t>Letter to Malcolm [Hulke?] 1/29/1975</t>
  </si>
  <si>
    <t>Letter to Malcolm [Hulke?] 1/31/1975</t>
  </si>
  <si>
    <t>Selected Letters 1/31/75 (I trust)</t>
  </si>
  <si>
    <t>Dear Malcolm, Would you object if I completed</t>
  </si>
  <si>
    <t>I hope you're not displeased</t>
  </si>
  <si>
    <t>Dear Claudia, It seems to me that one of the most</t>
  </si>
  <si>
    <t>Letter to Claudia Bush 2/13/75</t>
  </si>
  <si>
    <t>Selected Letters 2/13/75 (I trust)</t>
  </si>
  <si>
    <t>that he may acquire it</t>
  </si>
  <si>
    <t>The forms (categories such as "transportation")</t>
  </si>
  <si>
    <t>the latter Rome is what I saw</t>
  </si>
  <si>
    <t>4:6</t>
  </si>
  <si>
    <t>Dear Peter, […] in regards to the tone</t>
  </si>
  <si>
    <t>4:13</t>
  </si>
  <si>
    <t>4:16</t>
  </si>
  <si>
    <t>4:34</t>
  </si>
  <si>
    <t>Dear Claudia, Herewith you will find</t>
  </si>
  <si>
    <t>Selected Letters 7/16/74 (I trust)</t>
  </si>
  <si>
    <t>Letter to Claudia Bush 7/16/74</t>
  </si>
  <si>
    <t>4:41</t>
  </si>
  <si>
    <t>4:34 [enclosure]</t>
  </si>
  <si>
    <t>Sutin 233-237</t>
  </si>
  <si>
    <t>July 8, 1974 First day of the constitutional crisis</t>
  </si>
  <si>
    <t>Earliest date</t>
  </si>
  <si>
    <t>latest date</t>
  </si>
  <si>
    <t>Folder number</t>
  </si>
  <si>
    <t>Missing from scans.</t>
  </si>
  <si>
    <t>??</t>
  </si>
  <si>
    <t>Some 1980 material mixed in.</t>
  </si>
  <si>
    <t>Folder 55 picks up at X-4</t>
  </si>
  <si>
    <t>Missing from scans. PW notes not part of Exegesis.</t>
  </si>
  <si>
    <t>Proposed new ordering number</t>
  </si>
  <si>
    <t>Scanned but missing from Zebrapedia</t>
  </si>
  <si>
    <t>Scan present locally, missing from Zebrapedia</t>
  </si>
  <si>
    <t xml:space="preserve">Selections in published E. </t>
  </si>
  <si>
    <t>Missing pages are mostly letters from Jan-Feb. 1975, detailed in PW inventory.</t>
  </si>
  <si>
    <t>Missing 9-p. piece "A dream, from St. Sophia"- Prob. removed for privacy reasons, due to note "heavy analysis of impending break-up with Tessa")</t>
  </si>
  <si>
    <t>PW gives 41 as the tally, but it seems that it should be 40.</t>
  </si>
  <si>
    <t>PW miscounts tally as 63, inventory shows 64.</t>
  </si>
  <si>
    <t>PW miscounts tally as 106, inventory shows 108</t>
  </si>
  <si>
    <t>PW misses a duplicated number (416) but lists a typed page that is not present; net 1 page missing.</t>
  </si>
  <si>
    <t>Missing page is verso of one of the pages between 76 and 77.</t>
  </si>
  <si>
    <t>PW misses 3 dup page numbers in M-sequence; gives 135 as total, but actually 138</t>
  </si>
  <si>
    <t>didn't page-by-page, might be a discrepancy</t>
  </si>
  <si>
    <t>8 duplicate pages at end of file. Should side-by-side in case there are differences.</t>
  </si>
  <si>
    <t>pkd-folder-27</t>
  </si>
  <si>
    <t>pkd-folder-15</t>
  </si>
  <si>
    <t>Some pages out of order?</t>
  </si>
  <si>
    <t>Pages out of order</t>
  </si>
  <si>
    <t>Big chunk of out of order pages in the D pagination sequence. Corrected in PDF but not in Zebrapedia</t>
  </si>
  <si>
    <t>Most pages upside down</t>
  </si>
  <si>
    <t>After 11-17-81</t>
  </si>
  <si>
    <t>DATED: 12/9/81</t>
  </si>
  <si>
    <t>Zebrapedia folder</t>
  </si>
  <si>
    <t>Zebpraedia start page</t>
  </si>
  <si>
    <t>Unlocated</t>
  </si>
  <si>
    <t>Similar diagrams in folders 63, 65</t>
  </si>
  <si>
    <t>From text sent to PW with January 27, 1975 letter. This is not included in the Z scans</t>
  </si>
  <si>
    <t>Expanded with new scans.</t>
  </si>
  <si>
    <t>1979-01</t>
  </si>
  <si>
    <t>1979-04</t>
  </si>
  <si>
    <t>10-18-19771</t>
  </si>
  <si>
    <t>1978-10</t>
  </si>
  <si>
    <t>Nov. 1979</t>
  </si>
  <si>
    <t>Date STATED: p. 155 - Early Nov. 1979. See also p.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</si>
</sst>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7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17" fontId="2" fillId="0" borderId="0" xfId="0" applyNumberFormat="1" applyFont="1"/>
    <xf numFmtId="17" fontId="0" fillId="0" borderId="0" xfId="0" applyNumberFormat="1"/>
    <xf numFmtId="0" fontId="1" fillId="2" borderId="0" xfId="1"/>
    <xf numFmtId="49" fontId="0" fillId="0" borderId="0" xfId="0" applyNumberFormat="1"/>
    <xf numFmtId="164" fontId="0" fillId="0" borderId="0" xfId="0" applyNumberFormat="1"/>
    <xf numFmtId="0" fontId="0" fillId="3" borderId="0" xfId="0" applyFill="1"/>
    <xf numFmtId="17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7" fontId="0" fillId="5" borderId="0" xfId="0" applyNumberFormat="1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3" fillId="7" borderId="0" xfId="2"/>
    <xf numFmtId="17" fontId="3" fillId="7" borderId="0" xfId="2" applyNumberFormat="1"/>
    <xf numFmtId="164" fontId="3" fillId="7" borderId="0" xfId="2" applyNumberFormat="1"/>
    <xf numFmtId="0" fontId="0" fillId="8" borderId="0" xfId="0" applyFill="1"/>
    <xf numFmtId="17" fontId="0" fillId="8" borderId="0" xfId="0" applyNumberFormat="1" applyFill="1"/>
    <xf numFmtId="164" fontId="0" fillId="8" borderId="0" xfId="0" applyNumberFormat="1" applyFill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3C37-2551-D44F-B16F-2CCC4C4F8BB4}">
  <dimension ref="A1:N98"/>
  <sheetViews>
    <sheetView tabSelected="1" workbookViewId="0">
      <pane ySplit="1" topLeftCell="A59" activePane="bottomLeft" state="frozen"/>
      <selection pane="bottomLeft" activeCell="B69" sqref="B69"/>
    </sheetView>
  </sheetViews>
  <sheetFormatPr baseColWidth="10" defaultRowHeight="16" x14ac:dyDescent="0.2"/>
  <cols>
    <col min="5" max="5" width="14" customWidth="1"/>
    <col min="6" max="6" width="11.1640625" style="8" bestFit="1" customWidth="1"/>
    <col min="7" max="7" width="10.83203125" style="8"/>
    <col min="10" max="10" width="10.83203125" customWidth="1"/>
  </cols>
  <sheetData>
    <row r="1" spans="1:13" x14ac:dyDescent="0.2">
      <c r="A1" t="s">
        <v>0</v>
      </c>
      <c r="B1" t="s">
        <v>2</v>
      </c>
      <c r="C1" t="s">
        <v>1</v>
      </c>
      <c r="D1" t="s">
        <v>3</v>
      </c>
      <c r="E1" t="s">
        <v>115</v>
      </c>
      <c r="F1" s="8" t="s">
        <v>860</v>
      </c>
      <c r="G1" s="8" t="s">
        <v>861</v>
      </c>
      <c r="H1" t="s">
        <v>4</v>
      </c>
      <c r="I1" t="s">
        <v>5</v>
      </c>
      <c r="J1" t="s">
        <v>6</v>
      </c>
      <c r="K1" t="s">
        <v>14</v>
      </c>
      <c r="L1" t="s">
        <v>169</v>
      </c>
    </row>
    <row r="2" spans="1:13" x14ac:dyDescent="0.2">
      <c r="A2">
        <v>1</v>
      </c>
      <c r="C2" t="s">
        <v>11</v>
      </c>
      <c r="D2" t="s">
        <v>10</v>
      </c>
      <c r="E2" t="s">
        <v>142</v>
      </c>
      <c r="F2" s="8">
        <v>29512</v>
      </c>
      <c r="G2" s="8">
        <v>29593</v>
      </c>
      <c r="H2">
        <v>308</v>
      </c>
      <c r="I2">
        <v>310</v>
      </c>
      <c r="J2">
        <v>310</v>
      </c>
      <c r="K2">
        <f>I2-J2</f>
        <v>0</v>
      </c>
      <c r="L2">
        <f>J2-H2</f>
        <v>2</v>
      </c>
    </row>
    <row r="3" spans="1:13" x14ac:dyDescent="0.2">
      <c r="A3">
        <v>2</v>
      </c>
      <c r="B3" t="s">
        <v>8</v>
      </c>
      <c r="E3" s="5">
        <v>28734</v>
      </c>
      <c r="F3" s="8">
        <v>28734</v>
      </c>
      <c r="G3" s="8">
        <v>28763</v>
      </c>
      <c r="H3">
        <v>90</v>
      </c>
      <c r="I3">
        <v>90</v>
      </c>
      <c r="J3">
        <v>90</v>
      </c>
      <c r="K3">
        <f t="shared" ref="K3:K59" si="0">I3-J3</f>
        <v>0</v>
      </c>
      <c r="L3">
        <f t="shared" ref="L3:L65" si="1">J3-H3</f>
        <v>0</v>
      </c>
    </row>
    <row r="4" spans="1:13" x14ac:dyDescent="0.2">
      <c r="A4">
        <v>3</v>
      </c>
      <c r="B4" t="s">
        <v>9</v>
      </c>
      <c r="E4" s="5">
        <v>28734</v>
      </c>
      <c r="F4" s="8">
        <v>28734</v>
      </c>
      <c r="G4" s="8">
        <v>28763</v>
      </c>
      <c r="H4">
        <v>88</v>
      </c>
      <c r="I4">
        <v>88</v>
      </c>
      <c r="J4">
        <v>88</v>
      </c>
      <c r="K4">
        <f t="shared" si="0"/>
        <v>0</v>
      </c>
      <c r="L4">
        <f t="shared" si="1"/>
        <v>0</v>
      </c>
    </row>
    <row r="5" spans="1:13" x14ac:dyDescent="0.2">
      <c r="A5">
        <v>5</v>
      </c>
      <c r="C5" t="s">
        <v>873</v>
      </c>
      <c r="D5" t="s">
        <v>7</v>
      </c>
      <c r="E5" t="s">
        <v>118</v>
      </c>
      <c r="F5" s="8">
        <v>27452</v>
      </c>
      <c r="G5" s="8">
        <v>28033</v>
      </c>
      <c r="H5">
        <v>313</v>
      </c>
      <c r="I5">
        <v>312</v>
      </c>
      <c r="J5">
        <v>312</v>
      </c>
      <c r="K5">
        <f t="shared" si="0"/>
        <v>0</v>
      </c>
      <c r="L5">
        <f t="shared" si="1"/>
        <v>-1</v>
      </c>
    </row>
    <row r="6" spans="1:13" x14ac:dyDescent="0.2">
      <c r="A6">
        <v>6</v>
      </c>
      <c r="E6" t="s">
        <v>134</v>
      </c>
      <c r="F6" s="8">
        <v>28856</v>
      </c>
      <c r="G6" s="8">
        <v>28886</v>
      </c>
      <c r="H6">
        <v>72</v>
      </c>
      <c r="I6">
        <v>72</v>
      </c>
      <c r="J6">
        <v>72</v>
      </c>
      <c r="K6">
        <f t="shared" si="0"/>
        <v>0</v>
      </c>
      <c r="L6">
        <f t="shared" si="1"/>
        <v>0</v>
      </c>
    </row>
    <row r="7" spans="1:13" x14ac:dyDescent="0.2">
      <c r="A7">
        <v>8</v>
      </c>
      <c r="E7" t="s">
        <v>133</v>
      </c>
      <c r="F7" s="8">
        <v>28856</v>
      </c>
      <c r="G7" s="8">
        <v>28886</v>
      </c>
      <c r="H7">
        <v>26</v>
      </c>
      <c r="I7">
        <v>26</v>
      </c>
      <c r="J7">
        <v>26</v>
      </c>
      <c r="K7">
        <f t="shared" si="0"/>
        <v>0</v>
      </c>
      <c r="L7">
        <f t="shared" si="1"/>
        <v>0</v>
      </c>
    </row>
    <row r="8" spans="1:13" s="12" customFormat="1" x14ac:dyDescent="0.2">
      <c r="A8" s="12">
        <v>9</v>
      </c>
      <c r="E8" s="12" t="s">
        <v>132</v>
      </c>
      <c r="F8" s="13">
        <v>28825</v>
      </c>
      <c r="G8" s="13">
        <v>28855</v>
      </c>
      <c r="H8" s="12">
        <v>76</v>
      </c>
      <c r="I8" s="12">
        <v>76</v>
      </c>
      <c r="J8" s="12">
        <v>76</v>
      </c>
      <c r="K8" s="12">
        <f t="shared" si="0"/>
        <v>0</v>
      </c>
      <c r="L8" s="12">
        <f t="shared" si="1"/>
        <v>0</v>
      </c>
    </row>
    <row r="9" spans="1:13" x14ac:dyDescent="0.2">
      <c r="A9">
        <v>10</v>
      </c>
      <c r="E9" t="s">
        <v>135</v>
      </c>
      <c r="F9" s="8">
        <v>28887</v>
      </c>
      <c r="G9" s="8">
        <v>28914</v>
      </c>
      <c r="H9">
        <v>115</v>
      </c>
      <c r="I9">
        <v>115</v>
      </c>
      <c r="J9">
        <v>115</v>
      </c>
      <c r="K9">
        <f t="shared" si="0"/>
        <v>0</v>
      </c>
      <c r="L9">
        <f t="shared" si="1"/>
        <v>0</v>
      </c>
    </row>
    <row r="10" spans="1:13" x14ac:dyDescent="0.2">
      <c r="A10">
        <v>11</v>
      </c>
      <c r="E10" t="s">
        <v>132</v>
      </c>
      <c r="F10" s="8">
        <v>28825</v>
      </c>
      <c r="G10" s="8">
        <v>28855</v>
      </c>
      <c r="H10">
        <v>86</v>
      </c>
      <c r="I10">
        <v>86</v>
      </c>
      <c r="J10">
        <v>86</v>
      </c>
      <c r="K10">
        <f t="shared" si="0"/>
        <v>0</v>
      </c>
      <c r="L10">
        <f t="shared" si="1"/>
        <v>0</v>
      </c>
    </row>
    <row r="11" spans="1:13" x14ac:dyDescent="0.2">
      <c r="A11">
        <v>12</v>
      </c>
      <c r="F11" s="8" t="s">
        <v>864</v>
      </c>
      <c r="G11" s="8" t="s">
        <v>864</v>
      </c>
      <c r="H11">
        <v>30</v>
      </c>
      <c r="I11">
        <v>30</v>
      </c>
      <c r="J11">
        <v>30</v>
      </c>
      <c r="K11">
        <f t="shared" si="0"/>
        <v>0</v>
      </c>
      <c r="L11">
        <f t="shared" si="1"/>
        <v>0</v>
      </c>
    </row>
    <row r="12" spans="1:13" x14ac:dyDescent="0.2">
      <c r="A12">
        <v>13</v>
      </c>
      <c r="C12" t="s">
        <v>895</v>
      </c>
      <c r="E12" t="s">
        <v>136</v>
      </c>
      <c r="F12" t="s">
        <v>896</v>
      </c>
      <c r="G12" t="s">
        <v>897</v>
      </c>
      <c r="H12">
        <v>60</v>
      </c>
      <c r="I12">
        <v>60</v>
      </c>
      <c r="J12">
        <v>60</v>
      </c>
      <c r="K12">
        <f t="shared" si="0"/>
        <v>0</v>
      </c>
      <c r="L12">
        <f t="shared" si="1"/>
        <v>0</v>
      </c>
    </row>
    <row r="13" spans="1:13" x14ac:dyDescent="0.2">
      <c r="A13">
        <v>14</v>
      </c>
      <c r="E13" t="s">
        <v>126</v>
      </c>
      <c r="F13" s="8">
        <v>28550</v>
      </c>
      <c r="G13" s="8">
        <v>28610</v>
      </c>
      <c r="H13">
        <v>128</v>
      </c>
      <c r="I13">
        <v>130</v>
      </c>
      <c r="J13">
        <v>130</v>
      </c>
      <c r="K13">
        <f t="shared" si="0"/>
        <v>0</v>
      </c>
      <c r="L13">
        <f t="shared" si="1"/>
        <v>2</v>
      </c>
    </row>
    <row r="14" spans="1:13" s="9" customFormat="1" x14ac:dyDescent="0.2">
      <c r="A14" s="9">
        <v>15</v>
      </c>
      <c r="E14" s="10">
        <v>28611</v>
      </c>
      <c r="F14" s="11">
        <v>28611</v>
      </c>
      <c r="G14" s="11">
        <v>28641</v>
      </c>
      <c r="H14" s="9">
        <v>146</v>
      </c>
      <c r="I14" s="9">
        <v>146</v>
      </c>
      <c r="J14" s="9">
        <v>146</v>
      </c>
      <c r="K14" s="9">
        <f t="shared" si="0"/>
        <v>0</v>
      </c>
      <c r="L14" s="9">
        <f t="shared" si="1"/>
        <v>0</v>
      </c>
      <c r="M14" s="9" t="s">
        <v>883</v>
      </c>
    </row>
    <row r="15" spans="1:13" x14ac:dyDescent="0.2">
      <c r="A15">
        <v>16</v>
      </c>
      <c r="E15" t="s">
        <v>127</v>
      </c>
      <c r="F15" s="8">
        <v>28642</v>
      </c>
      <c r="G15" s="8">
        <v>28701</v>
      </c>
      <c r="H15">
        <v>116</v>
      </c>
      <c r="I15">
        <v>116</v>
      </c>
      <c r="J15">
        <v>116</v>
      </c>
      <c r="K15">
        <f t="shared" si="0"/>
        <v>0</v>
      </c>
      <c r="L15">
        <f t="shared" si="1"/>
        <v>0</v>
      </c>
    </row>
    <row r="16" spans="1:13" x14ac:dyDescent="0.2">
      <c r="A16">
        <v>20</v>
      </c>
      <c r="C16" t="s">
        <v>895</v>
      </c>
      <c r="E16" s="5">
        <v>28764</v>
      </c>
      <c r="F16" t="s">
        <v>899</v>
      </c>
      <c r="G16" t="s">
        <v>899</v>
      </c>
      <c r="H16">
        <v>82</v>
      </c>
      <c r="I16">
        <v>82</v>
      </c>
      <c r="J16">
        <v>82</v>
      </c>
      <c r="K16">
        <f t="shared" si="0"/>
        <v>0</v>
      </c>
      <c r="L16">
        <f t="shared" si="1"/>
        <v>0</v>
      </c>
    </row>
    <row r="17" spans="1:13" x14ac:dyDescent="0.2">
      <c r="A17">
        <v>21</v>
      </c>
      <c r="C17" t="s">
        <v>895</v>
      </c>
      <c r="E17" t="s">
        <v>130</v>
      </c>
      <c r="F17" t="s">
        <v>898</v>
      </c>
      <c r="G17" t="s">
        <v>898</v>
      </c>
      <c r="H17">
        <v>142</v>
      </c>
      <c r="I17">
        <v>142</v>
      </c>
      <c r="J17">
        <v>142</v>
      </c>
      <c r="K17">
        <f t="shared" si="0"/>
        <v>0</v>
      </c>
      <c r="L17">
        <f t="shared" si="1"/>
        <v>0</v>
      </c>
    </row>
    <row r="18" spans="1:13" x14ac:dyDescent="0.2">
      <c r="A18">
        <v>22</v>
      </c>
      <c r="E18" s="5" t="s">
        <v>131</v>
      </c>
      <c r="F18" s="8">
        <v>28764</v>
      </c>
      <c r="G18" s="8">
        <v>28824</v>
      </c>
      <c r="H18">
        <v>118</v>
      </c>
      <c r="I18">
        <v>118</v>
      </c>
      <c r="J18">
        <v>118</v>
      </c>
      <c r="K18">
        <f t="shared" si="0"/>
        <v>0</v>
      </c>
      <c r="L18">
        <f t="shared" si="1"/>
        <v>0</v>
      </c>
    </row>
    <row r="19" spans="1:13" x14ac:dyDescent="0.2">
      <c r="A19">
        <v>24</v>
      </c>
      <c r="E19" s="5">
        <v>28126</v>
      </c>
      <c r="F19" s="8">
        <v>28126</v>
      </c>
      <c r="G19" s="8">
        <v>28156</v>
      </c>
      <c r="H19">
        <v>88</v>
      </c>
      <c r="I19">
        <v>88</v>
      </c>
      <c r="J19">
        <v>88</v>
      </c>
      <c r="K19">
        <f t="shared" si="0"/>
        <v>0</v>
      </c>
      <c r="L19">
        <f t="shared" si="1"/>
        <v>0</v>
      </c>
    </row>
    <row r="20" spans="1:13" x14ac:dyDescent="0.2">
      <c r="A20">
        <v>25</v>
      </c>
      <c r="E20" t="s">
        <v>121</v>
      </c>
      <c r="F20" s="8">
        <v>28127</v>
      </c>
      <c r="G20" s="8">
        <v>28184</v>
      </c>
      <c r="H20">
        <v>50</v>
      </c>
      <c r="I20">
        <v>50</v>
      </c>
      <c r="J20">
        <v>50</v>
      </c>
      <c r="K20">
        <f t="shared" si="0"/>
        <v>0</v>
      </c>
      <c r="L20">
        <f t="shared" si="1"/>
        <v>0</v>
      </c>
    </row>
    <row r="21" spans="1:13" x14ac:dyDescent="0.2">
      <c r="A21">
        <v>26</v>
      </c>
      <c r="E21" s="5">
        <v>28157</v>
      </c>
      <c r="F21" s="8">
        <v>28157</v>
      </c>
      <c r="G21" s="8">
        <v>28184</v>
      </c>
      <c r="H21">
        <v>81</v>
      </c>
      <c r="I21">
        <v>81</v>
      </c>
      <c r="J21">
        <v>81</v>
      </c>
      <c r="K21">
        <f t="shared" si="0"/>
        <v>0</v>
      </c>
      <c r="L21">
        <f t="shared" si="1"/>
        <v>0</v>
      </c>
    </row>
    <row r="22" spans="1:13" s="9" customFormat="1" x14ac:dyDescent="0.2">
      <c r="A22" s="9">
        <v>27</v>
      </c>
      <c r="E22" s="10">
        <v>28185</v>
      </c>
      <c r="F22" s="11">
        <v>28185</v>
      </c>
      <c r="G22" s="11">
        <v>28215</v>
      </c>
      <c r="H22" s="9">
        <v>110</v>
      </c>
      <c r="I22" s="9">
        <v>111</v>
      </c>
      <c r="J22" s="9">
        <v>111</v>
      </c>
      <c r="K22" s="9">
        <f t="shared" si="0"/>
        <v>0</v>
      </c>
      <c r="L22" s="9">
        <f t="shared" si="1"/>
        <v>1</v>
      </c>
      <c r="M22" s="9" t="s">
        <v>882</v>
      </c>
    </row>
    <row r="23" spans="1:13" s="19" customFormat="1" x14ac:dyDescent="0.2">
      <c r="A23" s="19">
        <v>28</v>
      </c>
      <c r="E23" s="20">
        <v>28522</v>
      </c>
      <c r="F23" s="21">
        <v>28522</v>
      </c>
      <c r="G23" s="21">
        <v>28549</v>
      </c>
      <c r="H23" s="19">
        <v>52</v>
      </c>
      <c r="I23" s="19">
        <v>52</v>
      </c>
      <c r="J23" s="19">
        <v>52</v>
      </c>
      <c r="K23" s="19">
        <f t="shared" si="0"/>
        <v>0</v>
      </c>
      <c r="L23" s="19">
        <f t="shared" si="1"/>
        <v>0</v>
      </c>
      <c r="M23" s="19" t="s">
        <v>884</v>
      </c>
    </row>
    <row r="24" spans="1:13" x14ac:dyDescent="0.2">
      <c r="A24">
        <v>29</v>
      </c>
      <c r="E24" s="5">
        <v>28550</v>
      </c>
      <c r="F24" s="8">
        <v>28550</v>
      </c>
      <c r="G24" s="8">
        <v>28579</v>
      </c>
      <c r="H24">
        <v>90</v>
      </c>
      <c r="I24">
        <v>90</v>
      </c>
      <c r="J24">
        <v>90</v>
      </c>
      <c r="K24">
        <f t="shared" si="0"/>
        <v>0</v>
      </c>
      <c r="L24">
        <f t="shared" si="1"/>
        <v>0</v>
      </c>
    </row>
    <row r="25" spans="1:13" x14ac:dyDescent="0.2">
      <c r="A25">
        <v>30</v>
      </c>
      <c r="E25" t="s">
        <v>125</v>
      </c>
      <c r="F25" s="8">
        <v>28491</v>
      </c>
      <c r="G25" s="8">
        <v>28640</v>
      </c>
      <c r="H25">
        <v>26</v>
      </c>
      <c r="I25">
        <v>26</v>
      </c>
      <c r="J25">
        <v>26</v>
      </c>
      <c r="K25">
        <f t="shared" si="0"/>
        <v>0</v>
      </c>
      <c r="L25">
        <f t="shared" si="1"/>
        <v>0</v>
      </c>
    </row>
    <row r="26" spans="1:13" x14ac:dyDescent="0.2">
      <c r="A26">
        <v>31</v>
      </c>
      <c r="E26" s="5">
        <v>28399</v>
      </c>
      <c r="F26" s="8">
        <v>28399</v>
      </c>
      <c r="G26" s="8">
        <v>28429</v>
      </c>
      <c r="H26">
        <v>83</v>
      </c>
      <c r="I26">
        <v>83</v>
      </c>
      <c r="J26">
        <v>83</v>
      </c>
      <c r="K26">
        <f t="shared" si="0"/>
        <v>0</v>
      </c>
      <c r="L26">
        <f t="shared" si="1"/>
        <v>0</v>
      </c>
    </row>
    <row r="27" spans="1:13" x14ac:dyDescent="0.2">
      <c r="A27">
        <v>32</v>
      </c>
      <c r="E27" t="s">
        <v>124</v>
      </c>
      <c r="F27" s="8">
        <v>28448</v>
      </c>
      <c r="G27" s="8">
        <v>28448</v>
      </c>
      <c r="H27">
        <v>11</v>
      </c>
      <c r="I27">
        <v>12</v>
      </c>
      <c r="J27">
        <v>11</v>
      </c>
      <c r="K27">
        <f t="shared" si="0"/>
        <v>1</v>
      </c>
      <c r="L27">
        <f t="shared" si="1"/>
        <v>0</v>
      </c>
    </row>
    <row r="28" spans="1:13" x14ac:dyDescent="0.2">
      <c r="A28">
        <v>33</v>
      </c>
      <c r="E28" s="5">
        <v>28338</v>
      </c>
      <c r="F28" s="8">
        <v>28338</v>
      </c>
      <c r="G28" s="8">
        <v>28368</v>
      </c>
      <c r="H28">
        <v>20</v>
      </c>
      <c r="I28">
        <v>20</v>
      </c>
      <c r="J28">
        <v>20</v>
      </c>
      <c r="K28">
        <f t="shared" si="0"/>
        <v>0</v>
      </c>
      <c r="L28">
        <f t="shared" si="1"/>
        <v>0</v>
      </c>
    </row>
    <row r="29" spans="1:13" x14ac:dyDescent="0.2">
      <c r="A29">
        <v>34</v>
      </c>
      <c r="E29" t="s">
        <v>122</v>
      </c>
      <c r="F29" s="8">
        <v>28277</v>
      </c>
      <c r="G29" s="8">
        <v>28306</v>
      </c>
      <c r="H29">
        <v>14</v>
      </c>
      <c r="I29">
        <v>14</v>
      </c>
      <c r="J29">
        <v>14</v>
      </c>
      <c r="K29">
        <f t="shared" si="0"/>
        <v>0</v>
      </c>
      <c r="L29">
        <f t="shared" si="1"/>
        <v>0</v>
      </c>
    </row>
    <row r="30" spans="1:13" x14ac:dyDescent="0.2">
      <c r="A30">
        <v>35</v>
      </c>
      <c r="E30" s="5">
        <v>28307</v>
      </c>
      <c r="F30" s="8">
        <v>28307</v>
      </c>
      <c r="G30" s="8">
        <v>28337</v>
      </c>
      <c r="H30">
        <v>12</v>
      </c>
      <c r="I30">
        <v>12</v>
      </c>
      <c r="J30">
        <v>12</v>
      </c>
      <c r="K30">
        <f t="shared" si="0"/>
        <v>0</v>
      </c>
      <c r="L30">
        <f t="shared" si="1"/>
        <v>0</v>
      </c>
    </row>
    <row r="31" spans="1:13" x14ac:dyDescent="0.2">
      <c r="A31">
        <v>36</v>
      </c>
      <c r="D31" t="s">
        <v>874</v>
      </c>
      <c r="E31" t="s">
        <v>123</v>
      </c>
      <c r="F31" s="8">
        <v>28338</v>
      </c>
      <c r="G31" s="8">
        <v>28369</v>
      </c>
      <c r="H31">
        <v>40</v>
      </c>
      <c r="I31">
        <v>40</v>
      </c>
      <c r="J31">
        <v>40</v>
      </c>
      <c r="K31">
        <f t="shared" si="0"/>
        <v>0</v>
      </c>
      <c r="L31">
        <f t="shared" si="1"/>
        <v>0</v>
      </c>
    </row>
    <row r="32" spans="1:13" s="14" customFormat="1" x14ac:dyDescent="0.2">
      <c r="A32" s="14">
        <v>38</v>
      </c>
      <c r="E32" s="15">
        <v>28703</v>
      </c>
      <c r="F32" s="16">
        <v>28703</v>
      </c>
      <c r="G32" s="16">
        <v>28733</v>
      </c>
      <c r="H32" s="14">
        <v>97</v>
      </c>
      <c r="I32" s="14">
        <v>96</v>
      </c>
      <c r="J32" s="14">
        <v>96</v>
      </c>
      <c r="K32" s="14">
        <f t="shared" si="0"/>
        <v>0</v>
      </c>
      <c r="L32" s="14">
        <f t="shared" si="1"/>
        <v>-1</v>
      </c>
    </row>
    <row r="33" spans="1:14" x14ac:dyDescent="0.2">
      <c r="A33">
        <v>39</v>
      </c>
      <c r="E33" s="5">
        <v>28915</v>
      </c>
      <c r="F33" s="8">
        <v>28915</v>
      </c>
      <c r="G33" s="8">
        <v>28945</v>
      </c>
      <c r="H33">
        <v>81</v>
      </c>
      <c r="I33">
        <v>81</v>
      </c>
      <c r="J33">
        <v>81</v>
      </c>
      <c r="K33">
        <f t="shared" si="0"/>
        <v>0</v>
      </c>
      <c r="L33">
        <f t="shared" si="1"/>
        <v>0</v>
      </c>
    </row>
    <row r="34" spans="1:14" x14ac:dyDescent="0.2">
      <c r="A34">
        <v>40</v>
      </c>
      <c r="F34" s="8">
        <v>28399</v>
      </c>
      <c r="G34" s="8">
        <v>28429</v>
      </c>
      <c r="H34">
        <v>32</v>
      </c>
      <c r="I34">
        <v>32</v>
      </c>
      <c r="J34">
        <v>32</v>
      </c>
      <c r="K34">
        <f t="shared" si="0"/>
        <v>0</v>
      </c>
      <c r="L34">
        <f t="shared" si="1"/>
        <v>0</v>
      </c>
    </row>
    <row r="35" spans="1:14" x14ac:dyDescent="0.2">
      <c r="A35">
        <v>44</v>
      </c>
      <c r="C35" t="s">
        <v>878</v>
      </c>
      <c r="E35">
        <v>1979</v>
      </c>
      <c r="F35" s="8">
        <v>28856</v>
      </c>
      <c r="G35" s="8">
        <v>29220</v>
      </c>
      <c r="H35">
        <v>197</v>
      </c>
      <c r="I35">
        <v>196</v>
      </c>
      <c r="J35">
        <v>196</v>
      </c>
      <c r="K35">
        <f t="shared" si="0"/>
        <v>0</v>
      </c>
      <c r="L35">
        <f t="shared" si="1"/>
        <v>-1</v>
      </c>
    </row>
    <row r="36" spans="1:14" x14ac:dyDescent="0.2">
      <c r="A36">
        <v>45</v>
      </c>
      <c r="E36">
        <v>1979</v>
      </c>
      <c r="F36" s="8">
        <v>28856</v>
      </c>
      <c r="G36" s="8">
        <v>29220</v>
      </c>
      <c r="H36">
        <v>204</v>
      </c>
      <c r="I36">
        <v>204</v>
      </c>
      <c r="J36">
        <v>204</v>
      </c>
      <c r="K36">
        <f t="shared" si="0"/>
        <v>0</v>
      </c>
      <c r="L36">
        <f t="shared" si="1"/>
        <v>0</v>
      </c>
    </row>
    <row r="37" spans="1:14" x14ac:dyDescent="0.2">
      <c r="A37">
        <v>46</v>
      </c>
      <c r="C37" t="s">
        <v>877</v>
      </c>
      <c r="E37">
        <v>1979</v>
      </c>
      <c r="F37" s="8">
        <v>28856</v>
      </c>
      <c r="G37" s="8">
        <v>29220</v>
      </c>
      <c r="H37">
        <v>210</v>
      </c>
      <c r="I37">
        <v>209</v>
      </c>
      <c r="J37">
        <v>209</v>
      </c>
      <c r="K37">
        <f t="shared" si="0"/>
        <v>0</v>
      </c>
      <c r="L37">
        <f t="shared" si="1"/>
        <v>-1</v>
      </c>
    </row>
    <row r="38" spans="1:14" x14ac:dyDescent="0.2">
      <c r="A38">
        <v>48</v>
      </c>
      <c r="E38">
        <v>1979</v>
      </c>
      <c r="F38" s="8">
        <v>28856</v>
      </c>
      <c r="G38" s="8">
        <v>29220</v>
      </c>
      <c r="H38">
        <v>206</v>
      </c>
      <c r="I38">
        <v>204</v>
      </c>
      <c r="J38">
        <v>204</v>
      </c>
      <c r="K38">
        <f t="shared" si="0"/>
        <v>0</v>
      </c>
      <c r="L38">
        <f t="shared" si="1"/>
        <v>-2</v>
      </c>
    </row>
    <row r="39" spans="1:14" x14ac:dyDescent="0.2">
      <c r="A39">
        <v>49</v>
      </c>
      <c r="E39" t="s">
        <v>139</v>
      </c>
      <c r="F39" s="8">
        <v>29221</v>
      </c>
      <c r="G39" s="8">
        <v>29251</v>
      </c>
      <c r="H39">
        <v>164</v>
      </c>
      <c r="I39">
        <v>164</v>
      </c>
      <c r="J39">
        <v>164</v>
      </c>
      <c r="K39">
        <f t="shared" si="0"/>
        <v>0</v>
      </c>
      <c r="L39">
        <f t="shared" si="1"/>
        <v>0</v>
      </c>
    </row>
    <row r="40" spans="1:14" x14ac:dyDescent="0.2">
      <c r="A40">
        <v>50</v>
      </c>
      <c r="E40" s="5">
        <v>28491</v>
      </c>
      <c r="F40" s="8">
        <v>28491</v>
      </c>
      <c r="G40" s="8">
        <v>28521</v>
      </c>
      <c r="H40">
        <v>152</v>
      </c>
      <c r="I40">
        <v>152</v>
      </c>
      <c r="J40">
        <v>152</v>
      </c>
      <c r="K40">
        <f t="shared" si="0"/>
        <v>0</v>
      </c>
      <c r="L40">
        <f t="shared" si="1"/>
        <v>0</v>
      </c>
    </row>
    <row r="41" spans="1:14" s="22" customFormat="1" x14ac:dyDescent="0.2">
      <c r="A41" s="22">
        <v>53</v>
      </c>
      <c r="E41" s="23">
        <v>29952</v>
      </c>
      <c r="F41" s="24">
        <v>29952</v>
      </c>
      <c r="G41" s="24">
        <v>29982</v>
      </c>
      <c r="H41" s="22">
        <v>117</v>
      </c>
      <c r="I41" s="22">
        <v>117</v>
      </c>
      <c r="J41" s="22">
        <v>117</v>
      </c>
      <c r="K41" s="22">
        <f t="shared" si="0"/>
        <v>0</v>
      </c>
      <c r="L41" s="22">
        <f t="shared" si="1"/>
        <v>0</v>
      </c>
      <c r="N41" s="22" t="s">
        <v>887</v>
      </c>
    </row>
    <row r="42" spans="1:14" s="9" customFormat="1" x14ac:dyDescent="0.2">
      <c r="A42" s="9">
        <v>54</v>
      </c>
      <c r="C42" s="9" t="s">
        <v>879</v>
      </c>
      <c r="E42" s="10">
        <v>29983</v>
      </c>
      <c r="F42" s="11">
        <v>29983</v>
      </c>
      <c r="G42" s="11">
        <v>30000</v>
      </c>
      <c r="H42" s="9">
        <v>138</v>
      </c>
      <c r="I42" s="9">
        <v>138</v>
      </c>
      <c r="J42" s="9">
        <v>138</v>
      </c>
      <c r="K42" s="9">
        <f t="shared" si="0"/>
        <v>0</v>
      </c>
      <c r="L42" s="9">
        <f t="shared" si="1"/>
        <v>0</v>
      </c>
    </row>
    <row r="43" spans="1:14" s="22" customFormat="1" x14ac:dyDescent="0.2">
      <c r="A43" s="22">
        <v>55</v>
      </c>
      <c r="C43" s="22" t="s">
        <v>880</v>
      </c>
      <c r="E43" s="23" t="s">
        <v>158</v>
      </c>
      <c r="F43" s="24">
        <v>29921</v>
      </c>
      <c r="G43" s="24">
        <v>30000</v>
      </c>
      <c r="H43" s="22">
        <v>199</v>
      </c>
      <c r="I43" s="22">
        <v>198</v>
      </c>
      <c r="J43" s="22">
        <v>198</v>
      </c>
      <c r="K43" s="22">
        <f t="shared" si="0"/>
        <v>0</v>
      </c>
      <c r="L43" s="22">
        <f t="shared" si="1"/>
        <v>-1</v>
      </c>
      <c r="N43" s="22" t="s">
        <v>886</v>
      </c>
    </row>
    <row r="44" spans="1:14" s="9" customFormat="1" x14ac:dyDescent="0.2">
      <c r="A44" s="9">
        <v>56</v>
      </c>
      <c r="E44" s="9" t="s">
        <v>157</v>
      </c>
      <c r="F44" s="11">
        <v>29816</v>
      </c>
      <c r="G44" s="11">
        <v>30000</v>
      </c>
      <c r="H44" s="9">
        <v>209</v>
      </c>
      <c r="I44" s="9">
        <v>209</v>
      </c>
      <c r="J44" s="9">
        <v>209</v>
      </c>
      <c r="K44" s="9">
        <f>I44-J44</f>
        <v>0</v>
      </c>
      <c r="L44" s="9">
        <f>J44-H44</f>
        <v>0</v>
      </c>
      <c r="M44" s="9" t="s">
        <v>869</v>
      </c>
    </row>
    <row r="45" spans="1:14" x14ac:dyDescent="0.2">
      <c r="A45">
        <v>57</v>
      </c>
      <c r="E45" s="5">
        <v>29983</v>
      </c>
      <c r="F45" s="8">
        <v>29921</v>
      </c>
      <c r="G45" s="8">
        <v>30000</v>
      </c>
      <c r="H45">
        <v>48</v>
      </c>
      <c r="I45">
        <v>49</v>
      </c>
      <c r="J45">
        <v>48</v>
      </c>
      <c r="K45">
        <f t="shared" si="0"/>
        <v>1</v>
      </c>
      <c r="L45">
        <f t="shared" si="1"/>
        <v>0</v>
      </c>
    </row>
    <row r="46" spans="1:14" s="9" customFormat="1" x14ac:dyDescent="0.2">
      <c r="A46" s="9">
        <v>58</v>
      </c>
      <c r="C46" s="9" t="s">
        <v>13</v>
      </c>
      <c r="F46" s="11">
        <v>28513</v>
      </c>
      <c r="G46" s="11">
        <v>28513</v>
      </c>
      <c r="H46" s="9">
        <v>29</v>
      </c>
      <c r="I46" s="9">
        <v>29</v>
      </c>
      <c r="J46" s="9">
        <v>29</v>
      </c>
      <c r="K46" s="9">
        <f t="shared" si="0"/>
        <v>0</v>
      </c>
      <c r="L46" s="9">
        <f t="shared" si="1"/>
        <v>0</v>
      </c>
    </row>
    <row r="47" spans="1:14" x14ac:dyDescent="0.2">
      <c r="A47">
        <v>62</v>
      </c>
      <c r="E47" t="s">
        <v>154</v>
      </c>
      <c r="F47" s="8">
        <v>29830</v>
      </c>
      <c r="G47" s="8">
        <v>29859</v>
      </c>
      <c r="H47">
        <v>137</v>
      </c>
      <c r="I47">
        <v>137</v>
      </c>
      <c r="J47">
        <v>137</v>
      </c>
      <c r="K47">
        <f t="shared" si="0"/>
        <v>0</v>
      </c>
      <c r="L47">
        <f t="shared" si="1"/>
        <v>0</v>
      </c>
    </row>
    <row r="48" spans="1:14" x14ac:dyDescent="0.2">
      <c r="A48">
        <v>63</v>
      </c>
      <c r="E48" t="s">
        <v>155</v>
      </c>
      <c r="F48" s="8">
        <v>29921</v>
      </c>
      <c r="G48" s="8">
        <v>30000</v>
      </c>
      <c r="H48">
        <v>57</v>
      </c>
      <c r="I48">
        <v>57</v>
      </c>
      <c r="J48">
        <v>57</v>
      </c>
      <c r="K48">
        <f t="shared" si="0"/>
        <v>0</v>
      </c>
      <c r="L48">
        <f t="shared" si="1"/>
        <v>0</v>
      </c>
    </row>
    <row r="49" spans="1:13" x14ac:dyDescent="0.2">
      <c r="A49">
        <v>64</v>
      </c>
      <c r="E49" t="s">
        <v>156</v>
      </c>
      <c r="F49" s="8">
        <v>29922</v>
      </c>
      <c r="G49" s="8">
        <v>30000</v>
      </c>
      <c r="H49">
        <v>43</v>
      </c>
      <c r="I49">
        <v>43</v>
      </c>
      <c r="J49">
        <v>43</v>
      </c>
      <c r="K49">
        <f t="shared" si="0"/>
        <v>0</v>
      </c>
      <c r="L49">
        <f t="shared" si="1"/>
        <v>0</v>
      </c>
    </row>
    <row r="50" spans="1:13" x14ac:dyDescent="0.2">
      <c r="A50">
        <v>81</v>
      </c>
      <c r="E50" t="s">
        <v>153</v>
      </c>
      <c r="F50" s="8">
        <v>29738</v>
      </c>
      <c r="G50" s="8">
        <v>29767</v>
      </c>
      <c r="H50">
        <v>323</v>
      </c>
      <c r="I50">
        <v>323</v>
      </c>
      <c r="J50">
        <v>323</v>
      </c>
      <c r="K50">
        <f t="shared" si="0"/>
        <v>0</v>
      </c>
      <c r="L50">
        <f t="shared" si="1"/>
        <v>0</v>
      </c>
    </row>
    <row r="51" spans="1:13" x14ac:dyDescent="0.2">
      <c r="A51">
        <v>82</v>
      </c>
      <c r="E51" t="s">
        <v>140</v>
      </c>
      <c r="F51" s="8">
        <v>29250</v>
      </c>
      <c r="G51" s="8">
        <v>29338</v>
      </c>
      <c r="H51">
        <v>135</v>
      </c>
      <c r="I51">
        <v>135</v>
      </c>
      <c r="J51">
        <v>135</v>
      </c>
      <c r="K51">
        <f t="shared" si="0"/>
        <v>0</v>
      </c>
      <c r="L51">
        <f t="shared" si="1"/>
        <v>0</v>
      </c>
    </row>
    <row r="52" spans="1:13" x14ac:dyDescent="0.2">
      <c r="A52">
        <v>83</v>
      </c>
      <c r="E52" t="s">
        <v>141</v>
      </c>
      <c r="F52" s="8">
        <v>29376</v>
      </c>
      <c r="G52" s="8">
        <v>29494</v>
      </c>
      <c r="H52">
        <v>189</v>
      </c>
      <c r="I52">
        <v>189</v>
      </c>
      <c r="J52">
        <v>189</v>
      </c>
      <c r="K52">
        <f t="shared" si="0"/>
        <v>0</v>
      </c>
      <c r="L52">
        <f t="shared" si="1"/>
        <v>0</v>
      </c>
    </row>
    <row r="53" spans="1:13" x14ac:dyDescent="0.2">
      <c r="A53">
        <v>84</v>
      </c>
      <c r="E53" t="s">
        <v>152</v>
      </c>
      <c r="F53" s="8">
        <v>29677</v>
      </c>
      <c r="G53" s="8">
        <v>29696</v>
      </c>
      <c r="H53">
        <v>10</v>
      </c>
      <c r="I53">
        <v>11</v>
      </c>
      <c r="J53">
        <v>11</v>
      </c>
      <c r="K53">
        <f t="shared" si="0"/>
        <v>0</v>
      </c>
      <c r="L53">
        <f t="shared" si="1"/>
        <v>1</v>
      </c>
    </row>
    <row r="54" spans="1:13" x14ac:dyDescent="0.2">
      <c r="A54">
        <v>87</v>
      </c>
      <c r="E54" t="s">
        <v>143</v>
      </c>
      <c r="F54" s="8">
        <v>29542</v>
      </c>
      <c r="G54" s="8">
        <v>29563</v>
      </c>
      <c r="H54">
        <v>78</v>
      </c>
      <c r="I54">
        <v>78</v>
      </c>
      <c r="J54">
        <v>78</v>
      </c>
      <c r="K54">
        <f t="shared" si="0"/>
        <v>0</v>
      </c>
      <c r="L54">
        <f t="shared" si="1"/>
        <v>0</v>
      </c>
    </row>
    <row r="55" spans="1:13" x14ac:dyDescent="0.2">
      <c r="A55">
        <v>88</v>
      </c>
      <c r="E55" s="5">
        <v>29556</v>
      </c>
      <c r="F55" s="8">
        <v>29526</v>
      </c>
      <c r="G55" s="8">
        <v>29581</v>
      </c>
      <c r="H55">
        <v>104</v>
      </c>
      <c r="I55">
        <v>99</v>
      </c>
      <c r="J55">
        <v>99</v>
      </c>
      <c r="K55">
        <f t="shared" si="0"/>
        <v>0</v>
      </c>
      <c r="L55">
        <f t="shared" si="1"/>
        <v>-5</v>
      </c>
    </row>
    <row r="56" spans="1:13" s="17" customFormat="1" x14ac:dyDescent="0.2">
      <c r="A56" s="17">
        <v>89</v>
      </c>
      <c r="C56" s="17" t="s">
        <v>881</v>
      </c>
      <c r="E56" s="17" t="s">
        <v>144</v>
      </c>
      <c r="F56" s="18">
        <v>29584</v>
      </c>
      <c r="G56" s="18">
        <v>29706</v>
      </c>
      <c r="H56" s="17">
        <v>258</v>
      </c>
      <c r="I56" s="17">
        <v>258</v>
      </c>
      <c r="J56" s="17">
        <v>266</v>
      </c>
      <c r="K56" s="17">
        <f t="shared" si="0"/>
        <v>-8</v>
      </c>
      <c r="L56" s="17">
        <f t="shared" si="1"/>
        <v>8</v>
      </c>
    </row>
    <row r="57" spans="1:13" x14ac:dyDescent="0.2">
      <c r="A57">
        <v>90</v>
      </c>
      <c r="E57" t="s">
        <v>145</v>
      </c>
      <c r="F57" s="8">
        <v>29692</v>
      </c>
      <c r="G57" s="8">
        <v>29706</v>
      </c>
      <c r="H57">
        <v>203</v>
      </c>
      <c r="I57">
        <v>204</v>
      </c>
      <c r="J57">
        <v>203</v>
      </c>
      <c r="K57">
        <f t="shared" si="0"/>
        <v>1</v>
      </c>
      <c r="L57">
        <f t="shared" si="1"/>
        <v>0</v>
      </c>
    </row>
    <row r="58" spans="1:13" x14ac:dyDescent="0.2">
      <c r="A58">
        <v>91</v>
      </c>
      <c r="E58" t="s">
        <v>153</v>
      </c>
      <c r="F58" s="8">
        <v>29738</v>
      </c>
      <c r="G58" s="8">
        <v>29767</v>
      </c>
      <c r="H58">
        <v>171</v>
      </c>
      <c r="I58">
        <v>171</v>
      </c>
      <c r="J58">
        <v>171</v>
      </c>
      <c r="K58">
        <f t="shared" si="0"/>
        <v>0</v>
      </c>
      <c r="L58">
        <f t="shared" si="1"/>
        <v>0</v>
      </c>
    </row>
    <row r="59" spans="1:13" x14ac:dyDescent="0.2">
      <c r="A59">
        <v>4</v>
      </c>
      <c r="D59" t="s">
        <v>116</v>
      </c>
      <c r="E59" t="s">
        <v>117</v>
      </c>
      <c r="F59" s="8">
        <v>27061</v>
      </c>
      <c r="G59" s="8">
        <v>27759</v>
      </c>
      <c r="H59">
        <v>252</v>
      </c>
      <c r="I59">
        <v>231</v>
      </c>
      <c r="J59">
        <v>231</v>
      </c>
      <c r="K59">
        <f t="shared" si="0"/>
        <v>0</v>
      </c>
      <c r="L59">
        <f t="shared" si="1"/>
        <v>-21</v>
      </c>
      <c r="M59" t="s">
        <v>872</v>
      </c>
    </row>
    <row r="60" spans="1:13" x14ac:dyDescent="0.2">
      <c r="A60">
        <v>7</v>
      </c>
      <c r="D60" t="s">
        <v>387</v>
      </c>
      <c r="F60" s="8" t="s">
        <v>864</v>
      </c>
      <c r="G60" s="8" t="s">
        <v>864</v>
      </c>
      <c r="H60">
        <v>65</v>
      </c>
      <c r="J60">
        <v>65</v>
      </c>
      <c r="L60">
        <f t="shared" si="1"/>
        <v>0</v>
      </c>
    </row>
    <row r="61" spans="1:13" x14ac:dyDescent="0.2">
      <c r="A61">
        <v>17</v>
      </c>
      <c r="D61" t="s">
        <v>388</v>
      </c>
      <c r="E61" t="s">
        <v>389</v>
      </c>
      <c r="F61" s="8">
        <v>28581</v>
      </c>
      <c r="G61" s="8">
        <v>28671</v>
      </c>
      <c r="H61">
        <v>7</v>
      </c>
      <c r="J61">
        <v>7</v>
      </c>
      <c r="L61">
        <f t="shared" si="1"/>
        <v>0</v>
      </c>
    </row>
    <row r="62" spans="1:13" x14ac:dyDescent="0.2">
      <c r="A62">
        <v>18</v>
      </c>
      <c r="C62" t="s">
        <v>128</v>
      </c>
      <c r="E62" s="5">
        <v>28703</v>
      </c>
      <c r="F62" s="8">
        <v>28703</v>
      </c>
      <c r="G62" s="8">
        <v>28733</v>
      </c>
      <c r="H62">
        <v>87</v>
      </c>
      <c r="J62">
        <v>87</v>
      </c>
      <c r="L62">
        <f t="shared" si="1"/>
        <v>0</v>
      </c>
      <c r="M62" t="s">
        <v>885</v>
      </c>
    </row>
    <row r="63" spans="1:13" x14ac:dyDescent="0.2">
      <c r="A63">
        <v>19</v>
      </c>
      <c r="C63" t="s">
        <v>128</v>
      </c>
      <c r="E63" t="s">
        <v>129</v>
      </c>
      <c r="F63" s="8">
        <v>28734</v>
      </c>
      <c r="G63" s="8">
        <v>28794</v>
      </c>
      <c r="H63">
        <v>71</v>
      </c>
      <c r="J63">
        <v>71</v>
      </c>
      <c r="L63">
        <f t="shared" si="1"/>
        <v>0</v>
      </c>
    </row>
    <row r="64" spans="1:13" x14ac:dyDescent="0.2">
      <c r="A64">
        <v>23</v>
      </c>
      <c r="C64" t="s">
        <v>120</v>
      </c>
      <c r="E64" t="s">
        <v>119</v>
      </c>
      <c r="F64" s="8">
        <v>28065</v>
      </c>
      <c r="G64" s="8">
        <v>28125</v>
      </c>
      <c r="H64">
        <v>142</v>
      </c>
      <c r="J64">
        <v>142</v>
      </c>
      <c r="L64">
        <f t="shared" si="1"/>
        <v>0</v>
      </c>
    </row>
    <row r="65" spans="1:12" x14ac:dyDescent="0.2">
      <c r="A65">
        <v>37</v>
      </c>
      <c r="D65" t="s">
        <v>390</v>
      </c>
      <c r="F65" s="8" t="s">
        <v>864</v>
      </c>
      <c r="G65" s="8" t="s">
        <v>864</v>
      </c>
      <c r="H65">
        <v>9</v>
      </c>
      <c r="L65">
        <f t="shared" si="1"/>
        <v>-9</v>
      </c>
    </row>
    <row r="66" spans="1:12" x14ac:dyDescent="0.2">
      <c r="A66">
        <v>41</v>
      </c>
      <c r="C66" t="s">
        <v>138</v>
      </c>
      <c r="E66">
        <v>1979</v>
      </c>
      <c r="F66" s="8">
        <v>28856</v>
      </c>
      <c r="G66" s="8">
        <v>29220</v>
      </c>
      <c r="H66">
        <v>68</v>
      </c>
      <c r="J66">
        <v>68</v>
      </c>
      <c r="L66">
        <f t="shared" ref="L66:L92" si="2">J66-H66</f>
        <v>0</v>
      </c>
    </row>
    <row r="67" spans="1:12" x14ac:dyDescent="0.2">
      <c r="A67">
        <v>42</v>
      </c>
      <c r="C67" t="s">
        <v>138</v>
      </c>
      <c r="D67" t="s">
        <v>875</v>
      </c>
      <c r="E67">
        <v>1979</v>
      </c>
      <c r="F67" s="8">
        <v>28856</v>
      </c>
      <c r="G67" s="8">
        <v>29220</v>
      </c>
      <c r="H67">
        <v>64</v>
      </c>
      <c r="J67">
        <v>64</v>
      </c>
      <c r="L67">
        <f t="shared" si="2"/>
        <v>0</v>
      </c>
    </row>
    <row r="68" spans="1:12" x14ac:dyDescent="0.2">
      <c r="A68">
        <v>43</v>
      </c>
      <c r="C68" t="s">
        <v>138</v>
      </c>
      <c r="D68" t="s">
        <v>876</v>
      </c>
      <c r="E68">
        <v>1979</v>
      </c>
      <c r="F68" s="8">
        <v>28856</v>
      </c>
      <c r="G68" s="8">
        <v>29220</v>
      </c>
      <c r="H68">
        <v>108</v>
      </c>
      <c r="J68">
        <v>108</v>
      </c>
      <c r="L68">
        <f t="shared" si="2"/>
        <v>0</v>
      </c>
    </row>
    <row r="69" spans="1:12" x14ac:dyDescent="0.2">
      <c r="A69">
        <v>47</v>
      </c>
      <c r="B69" t="s">
        <v>901</v>
      </c>
      <c r="C69" t="s">
        <v>138</v>
      </c>
      <c r="E69" t="s">
        <v>900</v>
      </c>
      <c r="F69" s="8">
        <v>29129</v>
      </c>
      <c r="G69" s="8">
        <v>29189</v>
      </c>
      <c r="H69">
        <v>200</v>
      </c>
      <c r="J69">
        <v>200</v>
      </c>
      <c r="L69">
        <f t="shared" si="2"/>
        <v>0</v>
      </c>
    </row>
    <row r="70" spans="1:12" x14ac:dyDescent="0.2">
      <c r="A70">
        <v>51</v>
      </c>
      <c r="C70" t="s">
        <v>12</v>
      </c>
      <c r="F70" s="8">
        <v>1</v>
      </c>
      <c r="G70" s="8">
        <v>2</v>
      </c>
      <c r="H70">
        <v>0</v>
      </c>
      <c r="J70">
        <v>0</v>
      </c>
      <c r="L70">
        <f t="shared" si="2"/>
        <v>0</v>
      </c>
    </row>
    <row r="71" spans="1:12" x14ac:dyDescent="0.2">
      <c r="A71">
        <v>52</v>
      </c>
      <c r="C71" t="s">
        <v>192</v>
      </c>
      <c r="E71" s="5">
        <v>28581</v>
      </c>
      <c r="F71" s="8">
        <v>28581</v>
      </c>
      <c r="G71" s="8">
        <v>28610</v>
      </c>
      <c r="H71">
        <v>16</v>
      </c>
      <c r="J71">
        <v>16</v>
      </c>
      <c r="L71">
        <f t="shared" si="2"/>
        <v>0</v>
      </c>
    </row>
    <row r="72" spans="1:12" x14ac:dyDescent="0.2">
      <c r="A72">
        <v>59</v>
      </c>
      <c r="C72" t="s">
        <v>128</v>
      </c>
      <c r="E72" t="s">
        <v>147</v>
      </c>
      <c r="F72" s="8">
        <v>29587</v>
      </c>
      <c r="G72" s="8">
        <v>29706</v>
      </c>
      <c r="H72">
        <v>60</v>
      </c>
      <c r="J72">
        <v>60</v>
      </c>
      <c r="L72">
        <f t="shared" si="2"/>
        <v>0</v>
      </c>
    </row>
    <row r="73" spans="1:12" x14ac:dyDescent="0.2">
      <c r="A73">
        <v>60</v>
      </c>
      <c r="C73" t="s">
        <v>128</v>
      </c>
      <c r="E73" t="s">
        <v>148</v>
      </c>
      <c r="F73" s="8">
        <v>29588</v>
      </c>
      <c r="G73" s="8">
        <v>29706</v>
      </c>
      <c r="H73">
        <v>83</v>
      </c>
      <c r="J73">
        <v>81</v>
      </c>
      <c r="L73">
        <f t="shared" si="2"/>
        <v>-2</v>
      </c>
    </row>
    <row r="74" spans="1:12" x14ac:dyDescent="0.2">
      <c r="A74">
        <v>61</v>
      </c>
      <c r="D74" t="s">
        <v>391</v>
      </c>
      <c r="E74" t="s">
        <v>157</v>
      </c>
      <c r="F74" s="8">
        <v>29799</v>
      </c>
      <c r="G74" s="8">
        <v>29951</v>
      </c>
      <c r="H74">
        <v>5</v>
      </c>
      <c r="J74">
        <v>5</v>
      </c>
      <c r="L74">
        <f t="shared" si="2"/>
        <v>0</v>
      </c>
    </row>
    <row r="75" spans="1:12" x14ac:dyDescent="0.2">
      <c r="A75">
        <v>65</v>
      </c>
      <c r="D75" t="s">
        <v>392</v>
      </c>
      <c r="E75" t="s">
        <v>888</v>
      </c>
      <c r="F75" s="8">
        <v>29677</v>
      </c>
      <c r="G75" s="8">
        <v>29706</v>
      </c>
      <c r="H75">
        <v>4</v>
      </c>
      <c r="J75">
        <v>4</v>
      </c>
      <c r="L75">
        <f t="shared" si="2"/>
        <v>0</v>
      </c>
    </row>
    <row r="76" spans="1:12" x14ac:dyDescent="0.2">
      <c r="A76">
        <v>66</v>
      </c>
      <c r="D76" t="s">
        <v>393</v>
      </c>
      <c r="F76" s="8">
        <v>29678</v>
      </c>
      <c r="G76" s="8">
        <v>29736</v>
      </c>
      <c r="H76">
        <v>5</v>
      </c>
      <c r="J76">
        <v>5</v>
      </c>
      <c r="L76">
        <f t="shared" si="2"/>
        <v>0</v>
      </c>
    </row>
    <row r="77" spans="1:12" x14ac:dyDescent="0.2">
      <c r="A77">
        <v>67</v>
      </c>
      <c r="C77" t="s">
        <v>137</v>
      </c>
      <c r="E77" s="5">
        <v>29921</v>
      </c>
      <c r="F77" s="8">
        <v>29921</v>
      </c>
      <c r="G77" s="8">
        <v>29951</v>
      </c>
      <c r="H77">
        <v>12</v>
      </c>
      <c r="J77">
        <v>12</v>
      </c>
      <c r="L77">
        <f t="shared" si="2"/>
        <v>0</v>
      </c>
    </row>
    <row r="78" spans="1:12" x14ac:dyDescent="0.2">
      <c r="A78">
        <v>68</v>
      </c>
      <c r="B78" t="s">
        <v>889</v>
      </c>
      <c r="C78" t="s">
        <v>137</v>
      </c>
      <c r="E78" s="5"/>
      <c r="F78" s="8">
        <v>29921</v>
      </c>
      <c r="G78" s="8">
        <v>29951</v>
      </c>
      <c r="H78">
        <v>26</v>
      </c>
      <c r="J78">
        <v>26</v>
      </c>
      <c r="L78">
        <f t="shared" si="2"/>
        <v>0</v>
      </c>
    </row>
    <row r="79" spans="1:12" x14ac:dyDescent="0.2">
      <c r="A79">
        <v>69</v>
      </c>
      <c r="C79" t="s">
        <v>137</v>
      </c>
      <c r="E79" s="5">
        <v>29921</v>
      </c>
      <c r="F79" s="8">
        <v>29921</v>
      </c>
      <c r="G79" s="8">
        <v>29951</v>
      </c>
      <c r="H79">
        <v>24</v>
      </c>
      <c r="J79">
        <v>24</v>
      </c>
      <c r="L79">
        <f t="shared" si="2"/>
        <v>0</v>
      </c>
    </row>
    <row r="80" spans="1:12" x14ac:dyDescent="0.2">
      <c r="A80">
        <v>70</v>
      </c>
      <c r="C80" t="s">
        <v>866</v>
      </c>
      <c r="D80" t="s">
        <v>394</v>
      </c>
      <c r="F80" s="8">
        <v>29921</v>
      </c>
      <c r="G80" s="8">
        <v>30000</v>
      </c>
      <c r="H80">
        <v>3</v>
      </c>
      <c r="J80">
        <v>3</v>
      </c>
      <c r="L80">
        <f t="shared" si="2"/>
        <v>0</v>
      </c>
    </row>
    <row r="81" spans="1:12" x14ac:dyDescent="0.2">
      <c r="A81">
        <v>71</v>
      </c>
      <c r="D81" t="s">
        <v>395</v>
      </c>
      <c r="F81" s="8">
        <v>29738</v>
      </c>
      <c r="G81" s="8">
        <v>29767</v>
      </c>
      <c r="H81">
        <v>150</v>
      </c>
      <c r="J81">
        <v>150</v>
      </c>
      <c r="L81">
        <f t="shared" si="2"/>
        <v>0</v>
      </c>
    </row>
    <row r="82" spans="1:12" x14ac:dyDescent="0.2">
      <c r="A82">
        <v>72</v>
      </c>
      <c r="D82" t="s">
        <v>396</v>
      </c>
      <c r="F82" s="8">
        <v>29739</v>
      </c>
      <c r="G82" s="8">
        <v>29797</v>
      </c>
      <c r="H82">
        <v>51</v>
      </c>
      <c r="J82">
        <v>51</v>
      </c>
      <c r="L82">
        <f t="shared" si="2"/>
        <v>0</v>
      </c>
    </row>
    <row r="83" spans="1:12" x14ac:dyDescent="0.2">
      <c r="A83">
        <v>73</v>
      </c>
      <c r="C83" t="s">
        <v>128</v>
      </c>
      <c r="D83" t="s">
        <v>397</v>
      </c>
      <c r="E83" s="5">
        <v>29921</v>
      </c>
      <c r="F83" s="8">
        <v>29740</v>
      </c>
      <c r="G83" s="8">
        <v>29951</v>
      </c>
      <c r="H83">
        <v>15</v>
      </c>
      <c r="J83">
        <v>15</v>
      </c>
      <c r="L83">
        <f t="shared" si="2"/>
        <v>0</v>
      </c>
    </row>
    <row r="84" spans="1:12" x14ac:dyDescent="0.2">
      <c r="A84">
        <v>74</v>
      </c>
      <c r="D84" t="s">
        <v>398</v>
      </c>
      <c r="F84" s="8">
        <v>29556</v>
      </c>
      <c r="G84" s="8">
        <v>29588</v>
      </c>
      <c r="H84">
        <v>7</v>
      </c>
      <c r="J84">
        <v>7</v>
      </c>
      <c r="L84">
        <f t="shared" si="2"/>
        <v>0</v>
      </c>
    </row>
    <row r="85" spans="1:12" x14ac:dyDescent="0.2">
      <c r="A85">
        <v>75</v>
      </c>
      <c r="C85" t="s">
        <v>128</v>
      </c>
      <c r="D85" t="s">
        <v>399</v>
      </c>
      <c r="E85" t="s">
        <v>149</v>
      </c>
      <c r="F85" s="8">
        <v>29589</v>
      </c>
      <c r="G85" s="8">
        <v>29706</v>
      </c>
      <c r="H85">
        <v>98</v>
      </c>
      <c r="J85">
        <v>98</v>
      </c>
      <c r="L85">
        <f t="shared" si="2"/>
        <v>0</v>
      </c>
    </row>
    <row r="86" spans="1:12" x14ac:dyDescent="0.2">
      <c r="A86">
        <v>76</v>
      </c>
      <c r="C86" t="s">
        <v>128</v>
      </c>
      <c r="D86" t="s">
        <v>400</v>
      </c>
      <c r="E86" t="s">
        <v>150</v>
      </c>
      <c r="F86" s="8">
        <v>29590</v>
      </c>
      <c r="G86" s="8">
        <v>29706</v>
      </c>
      <c r="H86">
        <v>19</v>
      </c>
      <c r="J86">
        <v>19</v>
      </c>
      <c r="L86">
        <f t="shared" si="2"/>
        <v>0</v>
      </c>
    </row>
    <row r="87" spans="1:12" x14ac:dyDescent="0.2">
      <c r="A87">
        <v>77</v>
      </c>
      <c r="C87" t="s">
        <v>128</v>
      </c>
      <c r="D87" t="s">
        <v>401</v>
      </c>
      <c r="E87" t="s">
        <v>151</v>
      </c>
      <c r="F87" s="8">
        <v>29592</v>
      </c>
      <c r="G87" s="8">
        <v>29706</v>
      </c>
      <c r="H87">
        <v>43</v>
      </c>
      <c r="J87">
        <v>43</v>
      </c>
      <c r="L87">
        <f t="shared" si="2"/>
        <v>0</v>
      </c>
    </row>
    <row r="88" spans="1:12" x14ac:dyDescent="0.2">
      <c r="A88">
        <v>78</v>
      </c>
      <c r="C88" t="s">
        <v>128</v>
      </c>
      <c r="D88" t="s">
        <v>402</v>
      </c>
      <c r="E88" t="s">
        <v>146</v>
      </c>
      <c r="F88" s="8">
        <v>29707</v>
      </c>
      <c r="G88" s="8">
        <v>29736</v>
      </c>
      <c r="H88">
        <v>6</v>
      </c>
      <c r="J88">
        <v>12</v>
      </c>
      <c r="L88">
        <f t="shared" si="2"/>
        <v>6</v>
      </c>
    </row>
    <row r="89" spans="1:12" x14ac:dyDescent="0.2">
      <c r="A89">
        <v>79</v>
      </c>
      <c r="C89" t="s">
        <v>871</v>
      </c>
      <c r="D89" t="s">
        <v>403</v>
      </c>
      <c r="E89" t="s">
        <v>146</v>
      </c>
      <c r="F89" s="8">
        <v>29707</v>
      </c>
      <c r="G89" s="8">
        <v>29736</v>
      </c>
      <c r="H89">
        <v>130</v>
      </c>
      <c r="J89">
        <v>129</v>
      </c>
      <c r="L89">
        <f t="shared" si="2"/>
        <v>-1</v>
      </c>
    </row>
    <row r="90" spans="1:12" x14ac:dyDescent="0.2">
      <c r="A90">
        <v>80</v>
      </c>
      <c r="C90" t="s">
        <v>128</v>
      </c>
      <c r="D90" t="s">
        <v>404</v>
      </c>
      <c r="E90" t="s">
        <v>153</v>
      </c>
      <c r="F90" s="8">
        <v>29738</v>
      </c>
      <c r="G90" s="8">
        <v>29767</v>
      </c>
      <c r="H90">
        <v>93</v>
      </c>
      <c r="J90">
        <v>93</v>
      </c>
      <c r="L90">
        <f t="shared" si="2"/>
        <v>0</v>
      </c>
    </row>
    <row r="91" spans="1:12" x14ac:dyDescent="0.2">
      <c r="A91">
        <v>85</v>
      </c>
      <c r="C91" t="s">
        <v>128</v>
      </c>
      <c r="E91" s="5">
        <v>29556</v>
      </c>
      <c r="F91" s="8">
        <v>29556</v>
      </c>
      <c r="G91" s="8">
        <v>29586</v>
      </c>
      <c r="H91">
        <v>91</v>
      </c>
      <c r="J91">
        <v>92</v>
      </c>
      <c r="L91">
        <f t="shared" si="2"/>
        <v>1</v>
      </c>
    </row>
    <row r="92" spans="1:12" x14ac:dyDescent="0.2">
      <c r="A92">
        <v>86</v>
      </c>
      <c r="D92" t="s">
        <v>405</v>
      </c>
      <c r="F92" s="8">
        <v>27760</v>
      </c>
      <c r="G92" s="8">
        <v>28490</v>
      </c>
      <c r="H92">
        <v>16</v>
      </c>
      <c r="J92">
        <v>17</v>
      </c>
      <c r="L92">
        <f t="shared" si="2"/>
        <v>1</v>
      </c>
    </row>
    <row r="96" spans="1:12" x14ac:dyDescent="0.2">
      <c r="H96">
        <f>SUM(H1:H93)</f>
        <v>8494</v>
      </c>
      <c r="I96">
        <f>SUM(I1:I93)</f>
        <v>6692</v>
      </c>
      <c r="J96">
        <f>SUM(J1:J93)</f>
        <v>8471</v>
      </c>
      <c r="K96">
        <f>SUM(K1:K93)</f>
        <v>-5</v>
      </c>
    </row>
    <row r="98" spans="9:9" x14ac:dyDescent="0.2">
      <c r="I98">
        <f>I96/H96</f>
        <v>0.78785024723334118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BA5B-8939-DB49-BE3D-7FF7BE98D286}">
  <dimension ref="A1:H276"/>
  <sheetViews>
    <sheetView topLeftCell="A151" workbookViewId="0">
      <selection activeCell="A155" sqref="A155"/>
    </sheetView>
  </sheetViews>
  <sheetFormatPr baseColWidth="10" defaultRowHeight="16" x14ac:dyDescent="0.2"/>
  <sheetData>
    <row r="1" spans="1:8" x14ac:dyDescent="0.2">
      <c r="A1" s="1" t="s">
        <v>0</v>
      </c>
      <c r="B1" t="s">
        <v>15</v>
      </c>
      <c r="C1" t="s">
        <v>16</v>
      </c>
      <c r="D1" t="s">
        <v>21</v>
      </c>
      <c r="E1" s="1" t="s">
        <v>18</v>
      </c>
      <c r="F1" t="s">
        <v>19</v>
      </c>
      <c r="G1" t="s">
        <v>1</v>
      </c>
    </row>
    <row r="2" spans="1:8" x14ac:dyDescent="0.2">
      <c r="A2" s="1">
        <v>1</v>
      </c>
      <c r="B2" t="s">
        <v>17</v>
      </c>
      <c r="D2">
        <v>1</v>
      </c>
      <c r="E2" s="2">
        <v>29557</v>
      </c>
      <c r="F2" t="s">
        <v>20</v>
      </c>
    </row>
    <row r="3" spans="1:8" x14ac:dyDescent="0.2">
      <c r="A3" s="1">
        <v>1</v>
      </c>
      <c r="B3">
        <v>498</v>
      </c>
      <c r="C3">
        <v>543</v>
      </c>
      <c r="D3">
        <v>43</v>
      </c>
      <c r="E3" s="3">
        <v>29512</v>
      </c>
      <c r="G3" t="s">
        <v>22</v>
      </c>
    </row>
    <row r="4" spans="1:8" x14ac:dyDescent="0.2">
      <c r="A4" s="1">
        <v>1</v>
      </c>
      <c r="B4">
        <v>1</v>
      </c>
      <c r="C4">
        <v>4</v>
      </c>
      <c r="D4">
        <v>4</v>
      </c>
      <c r="E4" s="3">
        <v>29513</v>
      </c>
      <c r="F4" t="s">
        <v>20</v>
      </c>
      <c r="G4" t="s">
        <v>23</v>
      </c>
    </row>
    <row r="5" spans="1:8" x14ac:dyDescent="0.2">
      <c r="A5" s="1">
        <v>1</v>
      </c>
      <c r="B5">
        <v>1</v>
      </c>
      <c r="C5">
        <v>10</v>
      </c>
      <c r="D5">
        <v>10</v>
      </c>
      <c r="E5" s="3">
        <v>29514</v>
      </c>
      <c r="F5" t="s">
        <v>20</v>
      </c>
      <c r="G5" t="s">
        <v>23</v>
      </c>
    </row>
    <row r="6" spans="1:8" x14ac:dyDescent="0.2">
      <c r="A6" s="1">
        <v>1</v>
      </c>
      <c r="B6">
        <v>1</v>
      </c>
      <c r="C6">
        <v>8</v>
      </c>
      <c r="D6">
        <v>8</v>
      </c>
      <c r="E6" s="3">
        <v>29515</v>
      </c>
      <c r="F6" t="s">
        <v>20</v>
      </c>
      <c r="G6" t="s">
        <v>23</v>
      </c>
    </row>
    <row r="7" spans="1:8" x14ac:dyDescent="0.2">
      <c r="A7" s="1">
        <v>1</v>
      </c>
      <c r="B7">
        <v>641</v>
      </c>
      <c r="C7">
        <v>645</v>
      </c>
      <c r="D7">
        <v>5</v>
      </c>
      <c r="E7" s="3">
        <v>29515</v>
      </c>
      <c r="F7" t="s">
        <v>20</v>
      </c>
      <c r="H7" t="s">
        <v>58</v>
      </c>
    </row>
    <row r="8" spans="1:8" x14ac:dyDescent="0.2">
      <c r="A8" s="1">
        <v>1</v>
      </c>
      <c r="B8">
        <v>9</v>
      </c>
      <c r="C8">
        <v>9</v>
      </c>
      <c r="D8">
        <v>1</v>
      </c>
      <c r="E8" s="3">
        <v>29515</v>
      </c>
      <c r="G8" t="s">
        <v>23</v>
      </c>
    </row>
    <row r="9" spans="1:8" x14ac:dyDescent="0.2">
      <c r="A9" s="1">
        <v>1</v>
      </c>
      <c r="B9">
        <v>1</v>
      </c>
      <c r="C9">
        <v>4</v>
      </c>
      <c r="D9">
        <v>4</v>
      </c>
      <c r="E9" s="3">
        <v>29516</v>
      </c>
      <c r="F9" t="s">
        <v>20</v>
      </c>
      <c r="G9" t="s">
        <v>23</v>
      </c>
      <c r="H9" t="s">
        <v>24</v>
      </c>
    </row>
    <row r="10" spans="1:8" x14ac:dyDescent="0.2">
      <c r="A10" s="1">
        <v>1</v>
      </c>
      <c r="B10">
        <v>1</v>
      </c>
      <c r="C10">
        <v>4</v>
      </c>
      <c r="D10">
        <v>4</v>
      </c>
      <c r="E10" s="3">
        <v>29517</v>
      </c>
      <c r="F10" t="s">
        <v>20</v>
      </c>
      <c r="G10" t="s">
        <v>23</v>
      </c>
    </row>
    <row r="11" spans="1:8" x14ac:dyDescent="0.2">
      <c r="A11" s="1">
        <v>1</v>
      </c>
      <c r="B11">
        <v>1</v>
      </c>
      <c r="C11" t="s">
        <v>25</v>
      </c>
      <c r="D11">
        <v>7</v>
      </c>
      <c r="E11" s="3">
        <v>29518</v>
      </c>
      <c r="F11" t="s">
        <v>20</v>
      </c>
      <c r="G11" t="s">
        <v>23</v>
      </c>
      <c r="H11" t="s">
        <v>26</v>
      </c>
    </row>
    <row r="12" spans="1:8" x14ac:dyDescent="0.2">
      <c r="A12" s="1">
        <v>1</v>
      </c>
      <c r="B12">
        <v>1</v>
      </c>
      <c r="C12">
        <v>5</v>
      </c>
      <c r="D12">
        <v>5</v>
      </c>
      <c r="E12" s="3">
        <v>29519</v>
      </c>
      <c r="F12" t="s">
        <v>20</v>
      </c>
      <c r="G12" t="s">
        <v>23</v>
      </c>
      <c r="H12" t="s">
        <v>27</v>
      </c>
    </row>
    <row r="13" spans="1:8" x14ac:dyDescent="0.2">
      <c r="A13" s="1">
        <v>1</v>
      </c>
      <c r="B13">
        <v>1</v>
      </c>
      <c r="C13">
        <v>1</v>
      </c>
      <c r="D13">
        <v>1</v>
      </c>
      <c r="E13" s="3">
        <v>29520</v>
      </c>
      <c r="F13" t="s">
        <v>20</v>
      </c>
      <c r="G13" t="s">
        <v>23</v>
      </c>
    </row>
    <row r="14" spans="1:8" x14ac:dyDescent="0.2">
      <c r="A14" s="1">
        <v>1</v>
      </c>
      <c r="B14">
        <v>1</v>
      </c>
      <c r="C14">
        <v>2</v>
      </c>
      <c r="D14">
        <v>2</v>
      </c>
      <c r="E14" s="3">
        <v>29526</v>
      </c>
      <c r="F14" t="s">
        <v>20</v>
      </c>
      <c r="G14" t="s">
        <v>23</v>
      </c>
    </row>
    <row r="15" spans="1:8" x14ac:dyDescent="0.2">
      <c r="A15" s="1">
        <v>1</v>
      </c>
      <c r="B15">
        <v>1</v>
      </c>
      <c r="C15">
        <v>2</v>
      </c>
      <c r="D15">
        <v>2</v>
      </c>
      <c r="E15" s="3">
        <v>29527</v>
      </c>
      <c r="F15" t="s">
        <v>20</v>
      </c>
      <c r="G15" t="s">
        <v>23</v>
      </c>
    </row>
    <row r="16" spans="1:8" x14ac:dyDescent="0.2">
      <c r="A16" s="1">
        <v>1</v>
      </c>
      <c r="B16">
        <v>595</v>
      </c>
      <c r="C16">
        <v>634</v>
      </c>
      <c r="D16">
        <v>30</v>
      </c>
      <c r="E16" s="3">
        <v>29528</v>
      </c>
      <c r="F16" t="s">
        <v>20</v>
      </c>
      <c r="H16" t="s">
        <v>28</v>
      </c>
    </row>
    <row r="17" spans="1:8" x14ac:dyDescent="0.2">
      <c r="A17" s="1">
        <v>1</v>
      </c>
      <c r="B17">
        <v>656</v>
      </c>
      <c r="C17">
        <v>660</v>
      </c>
      <c r="D17">
        <v>4</v>
      </c>
      <c r="E17" s="3">
        <v>29515</v>
      </c>
      <c r="F17" t="s">
        <v>36</v>
      </c>
    </row>
    <row r="18" spans="1:8" x14ac:dyDescent="0.2">
      <c r="A18" s="1">
        <v>1</v>
      </c>
      <c r="B18">
        <v>648</v>
      </c>
      <c r="C18">
        <v>655</v>
      </c>
      <c r="D18">
        <v>8</v>
      </c>
      <c r="E18" s="3">
        <v>29515</v>
      </c>
      <c r="F18" t="s">
        <v>36</v>
      </c>
      <c r="H18" t="s">
        <v>29</v>
      </c>
    </row>
    <row r="19" spans="1:8" x14ac:dyDescent="0.2">
      <c r="A19" s="1">
        <v>1</v>
      </c>
      <c r="B19">
        <v>661</v>
      </c>
      <c r="C19">
        <v>663</v>
      </c>
      <c r="D19">
        <v>3</v>
      </c>
      <c r="E19" s="3">
        <v>29515</v>
      </c>
      <c r="F19" t="s">
        <v>36</v>
      </c>
      <c r="H19" t="s">
        <v>30</v>
      </c>
    </row>
    <row r="20" spans="1:8" x14ac:dyDescent="0.2">
      <c r="A20" s="1">
        <v>1</v>
      </c>
      <c r="B20">
        <v>685</v>
      </c>
      <c r="C20">
        <v>687</v>
      </c>
      <c r="D20">
        <v>3</v>
      </c>
      <c r="E20" s="3">
        <v>29515</v>
      </c>
      <c r="F20" t="s">
        <v>36</v>
      </c>
      <c r="H20" t="s">
        <v>31</v>
      </c>
    </row>
    <row r="21" spans="1:8" x14ac:dyDescent="0.2">
      <c r="A21" s="1">
        <v>1</v>
      </c>
      <c r="B21">
        <v>1</v>
      </c>
      <c r="C21">
        <v>6</v>
      </c>
      <c r="D21">
        <v>6</v>
      </c>
      <c r="E21" s="3">
        <v>29532</v>
      </c>
      <c r="F21" t="s">
        <v>20</v>
      </c>
      <c r="G21" t="s">
        <v>23</v>
      </c>
      <c r="H21" t="s">
        <v>32</v>
      </c>
    </row>
    <row r="22" spans="1:8" x14ac:dyDescent="0.2">
      <c r="A22" s="1">
        <v>1</v>
      </c>
      <c r="B22" t="s">
        <v>33</v>
      </c>
      <c r="C22" t="s">
        <v>34</v>
      </c>
      <c r="D22">
        <v>2</v>
      </c>
      <c r="E22" s="3">
        <v>29532</v>
      </c>
      <c r="F22" t="s">
        <v>20</v>
      </c>
      <c r="G22" t="s">
        <v>23</v>
      </c>
    </row>
    <row r="23" spans="1:8" x14ac:dyDescent="0.2">
      <c r="A23" s="1">
        <v>1</v>
      </c>
      <c r="B23">
        <v>1</v>
      </c>
      <c r="C23">
        <v>5</v>
      </c>
      <c r="D23">
        <v>5</v>
      </c>
      <c r="E23" s="3">
        <v>29542</v>
      </c>
      <c r="H23" t="s">
        <v>35</v>
      </c>
    </row>
    <row r="24" spans="1:8" x14ac:dyDescent="0.2">
      <c r="A24" s="1">
        <v>1</v>
      </c>
      <c r="B24">
        <v>855</v>
      </c>
      <c r="C24">
        <v>858</v>
      </c>
      <c r="D24">
        <v>4</v>
      </c>
      <c r="E24" s="4">
        <v>29556</v>
      </c>
      <c r="F24" t="s">
        <v>36</v>
      </c>
      <c r="H24" t="s">
        <v>38</v>
      </c>
    </row>
    <row r="25" spans="1:8" x14ac:dyDescent="0.2">
      <c r="A25" s="1">
        <v>1</v>
      </c>
      <c r="B25">
        <v>1</v>
      </c>
      <c r="C25">
        <v>4</v>
      </c>
      <c r="D25">
        <v>4</v>
      </c>
      <c r="E25" s="4">
        <v>29556</v>
      </c>
      <c r="F25" t="s">
        <v>36</v>
      </c>
      <c r="H25" t="s">
        <v>37</v>
      </c>
    </row>
    <row r="26" spans="1:8" x14ac:dyDescent="0.2">
      <c r="A26" s="1">
        <v>1</v>
      </c>
      <c r="B26">
        <v>1</v>
      </c>
      <c r="C26">
        <v>2</v>
      </c>
      <c r="D26">
        <v>2</v>
      </c>
      <c r="E26" s="3">
        <v>29549</v>
      </c>
      <c r="F26" t="s">
        <v>39</v>
      </c>
      <c r="G26" t="s">
        <v>40</v>
      </c>
    </row>
    <row r="27" spans="1:8" x14ac:dyDescent="0.2">
      <c r="A27" s="1">
        <v>1</v>
      </c>
      <c r="B27">
        <v>1</v>
      </c>
      <c r="C27">
        <v>7</v>
      </c>
      <c r="D27">
        <v>7</v>
      </c>
      <c r="E27" s="3">
        <v>29593</v>
      </c>
      <c r="F27" t="s">
        <v>39</v>
      </c>
      <c r="G27" t="s">
        <v>23</v>
      </c>
    </row>
    <row r="28" spans="1:8" x14ac:dyDescent="0.2">
      <c r="A28" s="1">
        <v>1</v>
      </c>
      <c r="B28">
        <v>688</v>
      </c>
      <c r="C28">
        <v>693</v>
      </c>
      <c r="D28">
        <v>6</v>
      </c>
      <c r="E28" s="3">
        <v>29515</v>
      </c>
      <c r="F28" t="s">
        <v>36</v>
      </c>
      <c r="H28" t="s">
        <v>41</v>
      </c>
    </row>
    <row r="29" spans="1:8" x14ac:dyDescent="0.2">
      <c r="A29" s="1">
        <v>1</v>
      </c>
      <c r="B29">
        <v>707</v>
      </c>
      <c r="C29">
        <v>728</v>
      </c>
      <c r="D29">
        <v>22</v>
      </c>
      <c r="E29" s="3">
        <v>29516</v>
      </c>
      <c r="F29" t="s">
        <v>36</v>
      </c>
      <c r="H29" t="s">
        <v>42</v>
      </c>
    </row>
    <row r="30" spans="1:8" x14ac:dyDescent="0.2">
      <c r="A30" s="1">
        <v>1</v>
      </c>
      <c r="B30">
        <v>743</v>
      </c>
      <c r="C30">
        <v>820</v>
      </c>
      <c r="D30">
        <v>72</v>
      </c>
      <c r="E30" s="3">
        <v>29522</v>
      </c>
      <c r="F30" t="s">
        <v>36</v>
      </c>
      <c r="H30" t="s">
        <v>43</v>
      </c>
    </row>
    <row r="31" spans="1:8" x14ac:dyDescent="0.2">
      <c r="A31" s="1">
        <v>1</v>
      </c>
      <c r="B31" t="s">
        <v>45</v>
      </c>
      <c r="C31" t="s">
        <v>46</v>
      </c>
      <c r="D31">
        <v>5</v>
      </c>
      <c r="E31" s="3">
        <v>29541</v>
      </c>
      <c r="F31" t="s">
        <v>39</v>
      </c>
      <c r="G31" t="s">
        <v>40</v>
      </c>
      <c r="H31" t="s">
        <v>44</v>
      </c>
    </row>
    <row r="32" spans="1:8" x14ac:dyDescent="0.2">
      <c r="A32" s="1">
        <v>1</v>
      </c>
      <c r="B32">
        <v>825</v>
      </c>
      <c r="C32">
        <v>829</v>
      </c>
      <c r="D32">
        <v>4</v>
      </c>
      <c r="E32" s="3">
        <v>29541</v>
      </c>
      <c r="F32" t="s">
        <v>36</v>
      </c>
    </row>
    <row r="33" spans="1:8" x14ac:dyDescent="0.2">
      <c r="A33" s="1">
        <v>1</v>
      </c>
      <c r="B33">
        <v>835</v>
      </c>
      <c r="C33">
        <v>846</v>
      </c>
      <c r="D33">
        <v>11</v>
      </c>
      <c r="E33" s="3">
        <v>29541</v>
      </c>
      <c r="F33" t="s">
        <v>36</v>
      </c>
    </row>
    <row r="34" spans="1:8" x14ac:dyDescent="0.2">
      <c r="A34" s="1">
        <v>1</v>
      </c>
      <c r="B34">
        <v>1</v>
      </c>
      <c r="C34">
        <v>7</v>
      </c>
      <c r="D34">
        <v>7</v>
      </c>
      <c r="E34" s="3">
        <v>29543</v>
      </c>
      <c r="F34" t="s">
        <v>36</v>
      </c>
      <c r="H34" t="s">
        <v>47</v>
      </c>
    </row>
    <row r="35" spans="1:8" x14ac:dyDescent="0.2">
      <c r="A35" s="1">
        <v>1</v>
      </c>
      <c r="B35">
        <v>21</v>
      </c>
      <c r="C35">
        <v>27</v>
      </c>
      <c r="D35">
        <v>7</v>
      </c>
      <c r="E35" s="3">
        <v>29544</v>
      </c>
      <c r="F35" t="s">
        <v>36</v>
      </c>
    </row>
    <row r="36" spans="1:8" x14ac:dyDescent="0.2">
      <c r="A36" s="1">
        <v>1</v>
      </c>
      <c r="B36">
        <v>23</v>
      </c>
      <c r="C36">
        <v>24</v>
      </c>
      <c r="D36">
        <v>2</v>
      </c>
      <c r="E36" s="3">
        <v>29544</v>
      </c>
      <c r="F36" t="s">
        <v>36</v>
      </c>
      <c r="H36" t="s">
        <v>48</v>
      </c>
    </row>
    <row r="37" spans="1:8" x14ac:dyDescent="0.2">
      <c r="A37" s="1">
        <v>2</v>
      </c>
      <c r="B37">
        <v>1</v>
      </c>
      <c r="C37">
        <v>89</v>
      </c>
      <c r="D37">
        <v>90</v>
      </c>
      <c r="E37" s="4">
        <v>28734</v>
      </c>
      <c r="F37" t="s">
        <v>49</v>
      </c>
      <c r="H37" t="s">
        <v>50</v>
      </c>
    </row>
    <row r="38" spans="1:8" x14ac:dyDescent="0.2">
      <c r="A38" s="1">
        <v>3</v>
      </c>
      <c r="B38">
        <v>1</v>
      </c>
      <c r="C38">
        <v>94</v>
      </c>
      <c r="D38">
        <v>88</v>
      </c>
      <c r="E38" s="4">
        <v>28734</v>
      </c>
      <c r="F38" t="s">
        <v>49</v>
      </c>
      <c r="H38" t="s">
        <v>51</v>
      </c>
    </row>
    <row r="39" spans="1:8" x14ac:dyDescent="0.2">
      <c r="A39" s="1">
        <v>5</v>
      </c>
      <c r="B39">
        <v>1</v>
      </c>
      <c r="C39">
        <v>11</v>
      </c>
      <c r="D39">
        <v>11</v>
      </c>
      <c r="E39" s="3">
        <v>27452</v>
      </c>
      <c r="F39" t="s">
        <v>20</v>
      </c>
      <c r="G39" t="s">
        <v>52</v>
      </c>
      <c r="H39" t="s">
        <v>53</v>
      </c>
    </row>
    <row r="40" spans="1:8" x14ac:dyDescent="0.2">
      <c r="A40" s="1">
        <v>5</v>
      </c>
      <c r="B40">
        <v>1</v>
      </c>
      <c r="C40">
        <v>1</v>
      </c>
      <c r="D40">
        <v>1</v>
      </c>
      <c r="E40" s="3">
        <v>27455</v>
      </c>
      <c r="F40" t="s">
        <v>20</v>
      </c>
      <c r="G40" t="s">
        <v>54</v>
      </c>
    </row>
    <row r="41" spans="1:8" x14ac:dyDescent="0.2">
      <c r="A41" s="1">
        <v>5</v>
      </c>
      <c r="B41">
        <v>1</v>
      </c>
      <c r="C41">
        <v>5</v>
      </c>
      <c r="D41">
        <v>5</v>
      </c>
      <c r="E41" s="4">
        <v>27454</v>
      </c>
      <c r="F41" t="s">
        <v>36</v>
      </c>
      <c r="H41" t="s">
        <v>55</v>
      </c>
    </row>
    <row r="42" spans="1:8" x14ac:dyDescent="0.2">
      <c r="A42" s="1">
        <v>5</v>
      </c>
      <c r="B42">
        <v>1</v>
      </c>
      <c r="C42">
        <v>2</v>
      </c>
      <c r="D42">
        <v>4</v>
      </c>
      <c r="E42" s="3">
        <v>27458</v>
      </c>
      <c r="F42" t="s">
        <v>20</v>
      </c>
      <c r="G42" t="s">
        <v>56</v>
      </c>
      <c r="H42" t="s">
        <v>57</v>
      </c>
    </row>
    <row r="43" spans="1:8" x14ac:dyDescent="0.2">
      <c r="A43" s="1">
        <v>5</v>
      </c>
      <c r="B43">
        <v>1</v>
      </c>
      <c r="C43">
        <v>4</v>
      </c>
      <c r="D43">
        <v>4</v>
      </c>
      <c r="E43" s="3">
        <v>27458</v>
      </c>
      <c r="F43" t="s">
        <v>20</v>
      </c>
      <c r="G43" t="s">
        <v>59</v>
      </c>
    </row>
    <row r="44" spans="1:8" x14ac:dyDescent="0.2">
      <c r="A44" s="1">
        <v>5</v>
      </c>
      <c r="B44">
        <v>1</v>
      </c>
      <c r="C44">
        <v>2</v>
      </c>
      <c r="D44">
        <v>2</v>
      </c>
      <c r="E44" s="3">
        <v>27457</v>
      </c>
      <c r="F44" t="s">
        <v>20</v>
      </c>
      <c r="G44" t="s">
        <v>60</v>
      </c>
    </row>
    <row r="45" spans="1:8" x14ac:dyDescent="0.2">
      <c r="A45" s="1">
        <v>5</v>
      </c>
      <c r="B45">
        <v>1</v>
      </c>
      <c r="C45">
        <v>2</v>
      </c>
      <c r="D45">
        <v>2</v>
      </c>
      <c r="E45" s="3">
        <v>27454</v>
      </c>
      <c r="F45" t="s">
        <v>20</v>
      </c>
      <c r="G45" t="s">
        <v>61</v>
      </c>
      <c r="H45" t="s">
        <v>62</v>
      </c>
    </row>
    <row r="46" spans="1:8" x14ac:dyDescent="0.2">
      <c r="A46" s="1">
        <v>5</v>
      </c>
      <c r="B46">
        <v>1</v>
      </c>
      <c r="C46">
        <v>4</v>
      </c>
      <c r="D46">
        <v>4</v>
      </c>
      <c r="E46" s="4">
        <v>27454</v>
      </c>
      <c r="F46" t="s">
        <v>36</v>
      </c>
      <c r="G46" t="s">
        <v>23</v>
      </c>
      <c r="H46" t="s">
        <v>63</v>
      </c>
    </row>
    <row r="47" spans="1:8" x14ac:dyDescent="0.2">
      <c r="A47" s="1">
        <v>5</v>
      </c>
      <c r="B47">
        <v>1</v>
      </c>
      <c r="C47">
        <v>6</v>
      </c>
      <c r="D47">
        <v>6</v>
      </c>
      <c r="E47" s="4">
        <v>27454</v>
      </c>
      <c r="F47" t="s">
        <v>36</v>
      </c>
      <c r="G47" t="s">
        <v>40</v>
      </c>
      <c r="H47" t="s">
        <v>64</v>
      </c>
    </row>
    <row r="48" spans="1:8" x14ac:dyDescent="0.2">
      <c r="A48" s="1">
        <v>5</v>
      </c>
      <c r="B48">
        <v>1</v>
      </c>
      <c r="C48">
        <v>10</v>
      </c>
      <c r="D48">
        <v>10</v>
      </c>
      <c r="E48" s="3">
        <v>27466</v>
      </c>
      <c r="F48" t="s">
        <v>20</v>
      </c>
      <c r="G48" t="s">
        <v>23</v>
      </c>
      <c r="H48" t="s">
        <v>65</v>
      </c>
    </row>
    <row r="49" spans="1:8" x14ac:dyDescent="0.2">
      <c r="A49" s="1">
        <v>5</v>
      </c>
      <c r="B49">
        <v>1</v>
      </c>
      <c r="C49" t="s">
        <v>66</v>
      </c>
      <c r="D49">
        <v>13</v>
      </c>
      <c r="E49" s="4">
        <v>27454</v>
      </c>
      <c r="F49" t="s">
        <v>36</v>
      </c>
      <c r="G49" t="s">
        <v>23</v>
      </c>
      <c r="H49" t="s">
        <v>67</v>
      </c>
    </row>
    <row r="50" spans="1:8" x14ac:dyDescent="0.2">
      <c r="A50" s="1">
        <v>5</v>
      </c>
      <c r="B50">
        <v>1</v>
      </c>
      <c r="C50">
        <v>2</v>
      </c>
      <c r="D50">
        <v>2</v>
      </c>
      <c r="E50" s="4">
        <v>27454</v>
      </c>
      <c r="F50" t="s">
        <v>36</v>
      </c>
      <c r="G50" t="s">
        <v>40</v>
      </c>
      <c r="H50" t="s">
        <v>68</v>
      </c>
    </row>
    <row r="51" spans="1:8" x14ac:dyDescent="0.2">
      <c r="A51" s="1">
        <v>5</v>
      </c>
      <c r="B51">
        <v>1</v>
      </c>
      <c r="C51">
        <v>29</v>
      </c>
      <c r="D51">
        <v>29</v>
      </c>
      <c r="E51" s="4">
        <v>27454</v>
      </c>
      <c r="F51" t="s">
        <v>36</v>
      </c>
      <c r="G51" t="s">
        <v>23</v>
      </c>
      <c r="H51" t="s">
        <v>69</v>
      </c>
    </row>
    <row r="52" spans="1:8" x14ac:dyDescent="0.2">
      <c r="A52" s="1">
        <v>5</v>
      </c>
      <c r="B52">
        <v>1</v>
      </c>
      <c r="C52">
        <v>6</v>
      </c>
      <c r="D52">
        <v>6</v>
      </c>
      <c r="E52" s="4">
        <v>27454</v>
      </c>
      <c r="F52" t="s">
        <v>36</v>
      </c>
      <c r="G52" t="s">
        <v>23</v>
      </c>
      <c r="H52" t="s">
        <v>70</v>
      </c>
    </row>
    <row r="53" spans="1:8" x14ac:dyDescent="0.2">
      <c r="A53" s="1">
        <v>5</v>
      </c>
      <c r="B53">
        <v>1</v>
      </c>
      <c r="C53">
        <v>1</v>
      </c>
      <c r="D53">
        <v>1</v>
      </c>
      <c r="E53" s="4">
        <v>27454</v>
      </c>
      <c r="F53" t="s">
        <v>36</v>
      </c>
      <c r="G53" t="s">
        <v>23</v>
      </c>
      <c r="H53" t="s">
        <v>71</v>
      </c>
    </row>
    <row r="54" spans="1:8" x14ac:dyDescent="0.2">
      <c r="A54" s="1">
        <v>5</v>
      </c>
      <c r="B54">
        <v>7</v>
      </c>
      <c r="C54">
        <v>28</v>
      </c>
      <c r="D54">
        <v>21</v>
      </c>
      <c r="E54" s="4">
        <v>27454</v>
      </c>
      <c r="F54" t="s">
        <v>36</v>
      </c>
      <c r="G54" t="s">
        <v>23</v>
      </c>
      <c r="H54" t="s">
        <v>72</v>
      </c>
    </row>
    <row r="55" spans="1:8" x14ac:dyDescent="0.2">
      <c r="A55" s="1">
        <v>5</v>
      </c>
      <c r="B55">
        <v>1</v>
      </c>
      <c r="C55">
        <v>21</v>
      </c>
      <c r="D55">
        <v>21</v>
      </c>
      <c r="E55" s="4">
        <v>27454</v>
      </c>
      <c r="F55" t="s">
        <v>36</v>
      </c>
      <c r="G55" t="s">
        <v>23</v>
      </c>
      <c r="H55" t="s">
        <v>73</v>
      </c>
    </row>
    <row r="56" spans="1:8" x14ac:dyDescent="0.2">
      <c r="A56" s="1">
        <v>5</v>
      </c>
      <c r="B56">
        <v>1</v>
      </c>
      <c r="C56">
        <v>3</v>
      </c>
      <c r="D56">
        <v>3</v>
      </c>
      <c r="E56" s="4">
        <v>27454</v>
      </c>
      <c r="F56" t="s">
        <v>36</v>
      </c>
      <c r="G56" t="s">
        <v>23</v>
      </c>
      <c r="H56" t="s">
        <v>84</v>
      </c>
    </row>
    <row r="57" spans="1:8" x14ac:dyDescent="0.2">
      <c r="A57" s="1">
        <v>5</v>
      </c>
      <c r="B57">
        <v>1</v>
      </c>
      <c r="C57">
        <v>9</v>
      </c>
      <c r="D57">
        <v>9</v>
      </c>
      <c r="E57" s="4">
        <v>27454</v>
      </c>
      <c r="F57" t="s">
        <v>36</v>
      </c>
      <c r="G57" t="s">
        <v>23</v>
      </c>
      <c r="H57" t="s">
        <v>74</v>
      </c>
    </row>
    <row r="58" spans="1:8" x14ac:dyDescent="0.2">
      <c r="A58" s="1">
        <v>5</v>
      </c>
      <c r="B58">
        <v>1</v>
      </c>
      <c r="C58">
        <v>4</v>
      </c>
      <c r="D58">
        <v>4</v>
      </c>
      <c r="E58" s="4">
        <v>27454</v>
      </c>
      <c r="F58" t="s">
        <v>36</v>
      </c>
      <c r="G58" t="s">
        <v>23</v>
      </c>
      <c r="H58" t="s">
        <v>75</v>
      </c>
    </row>
    <row r="59" spans="1:8" x14ac:dyDescent="0.2">
      <c r="A59" s="1">
        <v>5</v>
      </c>
      <c r="B59">
        <v>1</v>
      </c>
      <c r="C59">
        <v>11</v>
      </c>
      <c r="D59">
        <v>1</v>
      </c>
      <c r="E59" s="4">
        <v>27454</v>
      </c>
      <c r="F59" t="s">
        <v>36</v>
      </c>
      <c r="G59" t="s">
        <v>23</v>
      </c>
      <c r="H59" t="s">
        <v>76</v>
      </c>
    </row>
    <row r="60" spans="1:8" x14ac:dyDescent="0.2">
      <c r="A60" s="1">
        <v>5</v>
      </c>
      <c r="B60">
        <v>1</v>
      </c>
      <c r="C60">
        <v>25</v>
      </c>
      <c r="D60">
        <v>25</v>
      </c>
      <c r="E60" s="4">
        <v>27548</v>
      </c>
      <c r="F60" t="s">
        <v>20</v>
      </c>
      <c r="G60" t="s">
        <v>23</v>
      </c>
      <c r="H60" t="s">
        <v>77</v>
      </c>
    </row>
    <row r="61" spans="1:8" x14ac:dyDescent="0.2">
      <c r="A61" s="1">
        <v>5</v>
      </c>
      <c r="B61">
        <v>1</v>
      </c>
      <c r="C61">
        <v>5</v>
      </c>
      <c r="D61">
        <v>5</v>
      </c>
      <c r="E61" s="4">
        <v>27546</v>
      </c>
      <c r="F61" t="s">
        <v>36</v>
      </c>
      <c r="G61" t="s">
        <v>23</v>
      </c>
      <c r="H61" t="s">
        <v>78</v>
      </c>
    </row>
    <row r="62" spans="1:8" x14ac:dyDescent="0.2">
      <c r="A62" s="1">
        <v>5</v>
      </c>
      <c r="B62">
        <v>1</v>
      </c>
      <c r="C62">
        <v>3</v>
      </c>
      <c r="D62">
        <v>3</v>
      </c>
      <c r="E62" s="3">
        <v>27654</v>
      </c>
      <c r="F62" t="s">
        <v>20</v>
      </c>
      <c r="G62" t="s">
        <v>79</v>
      </c>
    </row>
    <row r="63" spans="1:8" x14ac:dyDescent="0.2">
      <c r="A63" s="1">
        <v>5</v>
      </c>
      <c r="B63">
        <v>1</v>
      </c>
      <c r="C63" t="s">
        <v>81</v>
      </c>
      <c r="D63">
        <v>2</v>
      </c>
      <c r="E63" s="3">
        <v>27652</v>
      </c>
      <c r="F63" t="s">
        <v>20</v>
      </c>
      <c r="G63" t="s">
        <v>80</v>
      </c>
      <c r="H63" t="s">
        <v>82</v>
      </c>
    </row>
    <row r="64" spans="1:8" x14ac:dyDescent="0.2">
      <c r="A64" s="1">
        <v>5</v>
      </c>
      <c r="B64">
        <v>1</v>
      </c>
      <c r="C64">
        <v>2</v>
      </c>
      <c r="E64" s="4">
        <v>27638</v>
      </c>
      <c r="F64" t="s">
        <v>36</v>
      </c>
      <c r="G64" t="s">
        <v>23</v>
      </c>
      <c r="H64" t="s">
        <v>83</v>
      </c>
    </row>
    <row r="65" spans="1:8" x14ac:dyDescent="0.2">
      <c r="A65" s="1">
        <v>5</v>
      </c>
      <c r="B65">
        <v>1</v>
      </c>
      <c r="C65">
        <v>3</v>
      </c>
      <c r="D65">
        <v>3</v>
      </c>
      <c r="E65" s="4">
        <v>27454</v>
      </c>
      <c r="F65" t="s">
        <v>36</v>
      </c>
      <c r="G65" t="s">
        <v>23</v>
      </c>
      <c r="H65" t="s">
        <v>85</v>
      </c>
    </row>
    <row r="66" spans="1:8" x14ac:dyDescent="0.2">
      <c r="A66" s="1">
        <v>5</v>
      </c>
      <c r="B66">
        <v>1</v>
      </c>
      <c r="C66">
        <v>3</v>
      </c>
      <c r="D66">
        <v>3</v>
      </c>
      <c r="E66" s="4">
        <v>27454</v>
      </c>
      <c r="F66" t="s">
        <v>36</v>
      </c>
      <c r="G66" t="s">
        <v>23</v>
      </c>
      <c r="H66" t="s">
        <v>86</v>
      </c>
    </row>
    <row r="67" spans="1:8" x14ac:dyDescent="0.2">
      <c r="A67" s="1">
        <v>5</v>
      </c>
      <c r="B67">
        <v>1</v>
      </c>
      <c r="C67">
        <v>2</v>
      </c>
      <c r="D67">
        <v>2</v>
      </c>
      <c r="E67" s="4">
        <v>27454</v>
      </c>
      <c r="F67" t="s">
        <v>36</v>
      </c>
      <c r="G67" t="s">
        <v>23</v>
      </c>
      <c r="H67" t="s">
        <v>87</v>
      </c>
    </row>
    <row r="68" spans="1:8" x14ac:dyDescent="0.2">
      <c r="A68" s="1">
        <v>5</v>
      </c>
      <c r="B68">
        <v>1</v>
      </c>
      <c r="C68">
        <v>3</v>
      </c>
      <c r="D68">
        <v>3</v>
      </c>
      <c r="E68" s="4">
        <v>27668</v>
      </c>
      <c r="F68" t="s">
        <v>36</v>
      </c>
      <c r="H68" t="s">
        <v>88</v>
      </c>
    </row>
    <row r="69" spans="1:8" x14ac:dyDescent="0.2">
      <c r="A69" s="1">
        <v>5</v>
      </c>
      <c r="B69">
        <v>1</v>
      </c>
      <c r="C69">
        <v>2</v>
      </c>
      <c r="D69">
        <v>2</v>
      </c>
      <c r="E69" s="3">
        <v>27703</v>
      </c>
      <c r="F69" t="s">
        <v>20</v>
      </c>
      <c r="G69" t="s">
        <v>23</v>
      </c>
      <c r="H69" t="s">
        <v>89</v>
      </c>
    </row>
    <row r="70" spans="1:8" x14ac:dyDescent="0.2">
      <c r="A70" s="1">
        <v>5</v>
      </c>
      <c r="B70">
        <v>1</v>
      </c>
      <c r="C70">
        <v>1</v>
      </c>
      <c r="D70">
        <v>2</v>
      </c>
      <c r="E70" s="4">
        <v>27699</v>
      </c>
      <c r="F70" t="s">
        <v>36</v>
      </c>
      <c r="G70" t="s">
        <v>40</v>
      </c>
      <c r="H70" t="s">
        <v>90</v>
      </c>
    </row>
    <row r="71" spans="1:8" x14ac:dyDescent="0.2">
      <c r="A71" s="1">
        <v>5</v>
      </c>
      <c r="B71">
        <v>1</v>
      </c>
      <c r="C71">
        <v>18</v>
      </c>
      <c r="D71">
        <v>18</v>
      </c>
      <c r="E71" s="4">
        <v>27699</v>
      </c>
      <c r="F71" t="s">
        <v>36</v>
      </c>
      <c r="G71" t="s">
        <v>40</v>
      </c>
      <c r="H71" t="s">
        <v>91</v>
      </c>
    </row>
    <row r="72" spans="1:8" x14ac:dyDescent="0.2">
      <c r="A72" s="1">
        <v>5</v>
      </c>
      <c r="B72">
        <v>1</v>
      </c>
      <c r="C72">
        <v>16</v>
      </c>
      <c r="D72">
        <v>16</v>
      </c>
      <c r="E72" s="4">
        <v>27729</v>
      </c>
      <c r="F72" t="s">
        <v>36</v>
      </c>
      <c r="G72" t="s">
        <v>40</v>
      </c>
      <c r="H72" t="s">
        <v>92</v>
      </c>
    </row>
    <row r="73" spans="1:8" x14ac:dyDescent="0.2">
      <c r="A73" s="1">
        <v>5</v>
      </c>
      <c r="B73">
        <v>1</v>
      </c>
      <c r="C73">
        <v>7</v>
      </c>
      <c r="D73">
        <v>7</v>
      </c>
      <c r="E73" s="4">
        <v>27760</v>
      </c>
      <c r="F73" t="s">
        <v>36</v>
      </c>
      <c r="G73" t="s">
        <v>40</v>
      </c>
      <c r="H73" t="s">
        <v>93</v>
      </c>
    </row>
    <row r="74" spans="1:8" x14ac:dyDescent="0.2">
      <c r="A74" s="1">
        <v>5</v>
      </c>
      <c r="B74">
        <v>1</v>
      </c>
      <c r="C74">
        <v>1</v>
      </c>
      <c r="D74">
        <v>1</v>
      </c>
      <c r="E74" s="4">
        <v>27791</v>
      </c>
      <c r="F74" t="s">
        <v>36</v>
      </c>
      <c r="G74" t="s">
        <v>40</v>
      </c>
      <c r="H74" t="s">
        <v>94</v>
      </c>
    </row>
    <row r="75" spans="1:8" x14ac:dyDescent="0.2">
      <c r="A75" s="1">
        <v>5</v>
      </c>
      <c r="B75">
        <v>1</v>
      </c>
      <c r="C75">
        <v>6</v>
      </c>
      <c r="D75">
        <v>5</v>
      </c>
      <c r="E75" s="4">
        <v>27820</v>
      </c>
      <c r="F75" t="s">
        <v>36</v>
      </c>
      <c r="G75" t="s">
        <v>40</v>
      </c>
      <c r="H75" t="s">
        <v>95</v>
      </c>
    </row>
    <row r="76" spans="1:8" x14ac:dyDescent="0.2">
      <c r="A76" s="1">
        <v>5</v>
      </c>
      <c r="B76">
        <v>1</v>
      </c>
      <c r="C76">
        <v>2</v>
      </c>
      <c r="D76">
        <v>2</v>
      </c>
      <c r="E76" s="4">
        <v>27851</v>
      </c>
      <c r="F76" t="s">
        <v>36</v>
      </c>
      <c r="G76" t="s">
        <v>40</v>
      </c>
      <c r="H76" t="s">
        <v>96</v>
      </c>
    </row>
    <row r="77" spans="1:8" x14ac:dyDescent="0.2">
      <c r="A77" s="1">
        <v>5</v>
      </c>
      <c r="B77">
        <v>1</v>
      </c>
      <c r="C77" t="s">
        <v>98</v>
      </c>
      <c r="D77">
        <v>10</v>
      </c>
      <c r="E77" s="4">
        <v>27891</v>
      </c>
      <c r="F77" t="s">
        <v>36</v>
      </c>
      <c r="G77" t="s">
        <v>40</v>
      </c>
      <c r="H77" t="s">
        <v>97</v>
      </c>
    </row>
    <row r="78" spans="1:8" x14ac:dyDescent="0.2">
      <c r="A78" s="1">
        <v>5</v>
      </c>
      <c r="B78">
        <v>1</v>
      </c>
      <c r="C78">
        <v>4</v>
      </c>
      <c r="D78">
        <v>4</v>
      </c>
      <c r="E78" s="3">
        <v>28015</v>
      </c>
      <c r="F78" t="s">
        <v>20</v>
      </c>
      <c r="G78" t="s">
        <v>99</v>
      </c>
    </row>
    <row r="79" spans="1:8" x14ac:dyDescent="0.2">
      <c r="A79" s="1">
        <v>5</v>
      </c>
      <c r="B79">
        <v>1</v>
      </c>
      <c r="C79">
        <v>2</v>
      </c>
      <c r="D79">
        <v>2</v>
      </c>
      <c r="E79" s="3">
        <v>28018</v>
      </c>
      <c r="F79" t="s">
        <v>20</v>
      </c>
      <c r="G79" t="s">
        <v>99</v>
      </c>
    </row>
    <row r="80" spans="1:8" x14ac:dyDescent="0.2">
      <c r="A80" s="1">
        <v>5</v>
      </c>
      <c r="B80">
        <v>1</v>
      </c>
      <c r="C80">
        <v>9</v>
      </c>
      <c r="D80">
        <v>9</v>
      </c>
      <c r="E80" s="4">
        <v>28004</v>
      </c>
      <c r="F80" t="s">
        <v>36</v>
      </c>
      <c r="G80" t="s">
        <v>40</v>
      </c>
      <c r="H80" t="s">
        <v>100</v>
      </c>
    </row>
    <row r="81" spans="1:8" x14ac:dyDescent="0.2">
      <c r="A81" s="1">
        <v>5</v>
      </c>
      <c r="B81">
        <v>1</v>
      </c>
      <c r="C81">
        <v>6</v>
      </c>
      <c r="D81">
        <v>6</v>
      </c>
      <c r="E81" s="4">
        <v>28004</v>
      </c>
      <c r="F81" t="s">
        <v>36</v>
      </c>
      <c r="G81" t="s">
        <v>23</v>
      </c>
      <c r="H81" t="s">
        <v>101</v>
      </c>
    </row>
    <row r="82" spans="1:8" x14ac:dyDescent="0.2">
      <c r="A82" s="1">
        <v>5</v>
      </c>
      <c r="B82">
        <v>1</v>
      </c>
      <c r="C82">
        <v>2</v>
      </c>
      <c r="D82">
        <v>2</v>
      </c>
      <c r="E82" s="4">
        <v>28004</v>
      </c>
      <c r="F82" t="s">
        <v>36</v>
      </c>
      <c r="H82" t="s">
        <v>102</v>
      </c>
    </row>
    <row r="83" spans="1:8" x14ac:dyDescent="0.2">
      <c r="A83" s="1">
        <v>5</v>
      </c>
      <c r="B83">
        <v>1</v>
      </c>
      <c r="C83">
        <v>5</v>
      </c>
      <c r="D83">
        <v>3</v>
      </c>
      <c r="E83" s="4">
        <v>28004</v>
      </c>
      <c r="F83" t="s">
        <v>36</v>
      </c>
      <c r="G83" t="s">
        <v>23</v>
      </c>
      <c r="H83" t="s">
        <v>103</v>
      </c>
    </row>
    <row r="84" spans="1:8" x14ac:dyDescent="0.2">
      <c r="A84" s="1">
        <v>5</v>
      </c>
      <c r="B84">
        <v>1</v>
      </c>
      <c r="C84">
        <v>1</v>
      </c>
      <c r="D84">
        <v>1</v>
      </c>
      <c r="E84" s="4">
        <v>27454</v>
      </c>
      <c r="F84" t="s">
        <v>36</v>
      </c>
      <c r="G84" t="s">
        <v>23</v>
      </c>
      <c r="H84" t="s">
        <v>104</v>
      </c>
    </row>
    <row r="85" spans="1:8" x14ac:dyDescent="0.2">
      <c r="A85" s="1">
        <v>5</v>
      </c>
      <c r="B85">
        <v>1</v>
      </c>
      <c r="C85">
        <v>3</v>
      </c>
      <c r="D85">
        <v>3</v>
      </c>
      <c r="E85" s="4">
        <v>27454</v>
      </c>
      <c r="F85" t="s">
        <v>36</v>
      </c>
      <c r="G85" t="s">
        <v>23</v>
      </c>
      <c r="H85" t="s">
        <v>105</v>
      </c>
    </row>
    <row r="86" spans="1:8" x14ac:dyDescent="0.2">
      <c r="A86" s="1">
        <v>6</v>
      </c>
      <c r="B86">
        <v>1</v>
      </c>
      <c r="C86">
        <v>72</v>
      </c>
      <c r="E86" s="4">
        <v>28856</v>
      </c>
      <c r="F86" t="s">
        <v>159</v>
      </c>
      <c r="H86" t="s">
        <v>106</v>
      </c>
    </row>
    <row r="87" spans="1:8" x14ac:dyDescent="0.2">
      <c r="A87" s="1">
        <v>8</v>
      </c>
      <c r="B87">
        <v>1</v>
      </c>
      <c r="C87">
        <v>26</v>
      </c>
      <c r="D87">
        <v>26</v>
      </c>
      <c r="E87" s="4">
        <v>28856</v>
      </c>
      <c r="F87" t="s">
        <v>159</v>
      </c>
      <c r="H87" t="s">
        <v>107</v>
      </c>
    </row>
    <row r="88" spans="1:8" x14ac:dyDescent="0.2">
      <c r="A88" s="1">
        <v>9</v>
      </c>
      <c r="B88">
        <v>1</v>
      </c>
      <c r="C88">
        <v>6</v>
      </c>
      <c r="D88">
        <v>6</v>
      </c>
      <c r="E88" s="1" t="s">
        <v>132</v>
      </c>
      <c r="F88" t="s">
        <v>159</v>
      </c>
      <c r="H88" t="s">
        <v>108</v>
      </c>
    </row>
    <row r="89" spans="1:8" x14ac:dyDescent="0.2">
      <c r="A89" s="1">
        <v>9</v>
      </c>
      <c r="B89">
        <v>1</v>
      </c>
      <c r="C89">
        <v>70</v>
      </c>
      <c r="D89">
        <v>70</v>
      </c>
      <c r="E89" s="1" t="s">
        <v>132</v>
      </c>
      <c r="F89" t="s">
        <v>36</v>
      </c>
      <c r="H89" t="s">
        <v>109</v>
      </c>
    </row>
    <row r="90" spans="1:8" x14ac:dyDescent="0.2">
      <c r="A90" s="1">
        <v>10</v>
      </c>
      <c r="B90" t="s">
        <v>45</v>
      </c>
      <c r="C90" t="s">
        <v>110</v>
      </c>
      <c r="D90">
        <v>2</v>
      </c>
      <c r="E90" s="4">
        <v>28887</v>
      </c>
      <c r="F90" t="s">
        <v>159</v>
      </c>
      <c r="H90" t="s">
        <v>111</v>
      </c>
    </row>
    <row r="91" spans="1:8" x14ac:dyDescent="0.2">
      <c r="A91" s="1">
        <v>10</v>
      </c>
      <c r="B91">
        <v>1</v>
      </c>
      <c r="C91">
        <v>3</v>
      </c>
      <c r="D91">
        <v>3</v>
      </c>
      <c r="E91" s="4">
        <v>28887</v>
      </c>
      <c r="F91" t="s">
        <v>159</v>
      </c>
      <c r="H91" t="s">
        <v>112</v>
      </c>
    </row>
    <row r="92" spans="1:8" x14ac:dyDescent="0.2">
      <c r="A92" s="1">
        <v>10</v>
      </c>
      <c r="B92">
        <v>1</v>
      </c>
      <c r="C92">
        <v>101</v>
      </c>
      <c r="D92">
        <v>110</v>
      </c>
      <c r="E92" s="4">
        <v>28887</v>
      </c>
      <c r="F92" t="s">
        <v>159</v>
      </c>
      <c r="H92" t="s">
        <v>113</v>
      </c>
    </row>
    <row r="93" spans="1:8" x14ac:dyDescent="0.2">
      <c r="A93" s="1">
        <v>11</v>
      </c>
      <c r="B93">
        <v>1</v>
      </c>
      <c r="C93">
        <v>87</v>
      </c>
      <c r="D93">
        <v>86</v>
      </c>
      <c r="E93" s="1" t="s">
        <v>132</v>
      </c>
      <c r="F93" t="s">
        <v>160</v>
      </c>
      <c r="H93" t="s">
        <v>114</v>
      </c>
    </row>
    <row r="94" spans="1:8" x14ac:dyDescent="0.2">
      <c r="A94" s="1">
        <v>12</v>
      </c>
      <c r="B94">
        <v>1</v>
      </c>
      <c r="C94">
        <v>30</v>
      </c>
      <c r="D94">
        <v>30</v>
      </c>
      <c r="E94" s="6"/>
    </row>
    <row r="95" spans="1:8" x14ac:dyDescent="0.2">
      <c r="A95" s="1">
        <v>13</v>
      </c>
      <c r="B95">
        <v>1</v>
      </c>
      <c r="C95" t="s">
        <v>161</v>
      </c>
      <c r="D95">
        <v>54</v>
      </c>
      <c r="E95" s="1" t="s">
        <v>162</v>
      </c>
      <c r="F95" t="s">
        <v>160</v>
      </c>
    </row>
    <row r="96" spans="1:8" x14ac:dyDescent="0.2">
      <c r="A96" s="1">
        <v>14</v>
      </c>
      <c r="B96">
        <v>1</v>
      </c>
      <c r="C96">
        <v>127</v>
      </c>
      <c r="D96">
        <v>128</v>
      </c>
      <c r="E96" s="1" t="s">
        <v>126</v>
      </c>
      <c r="F96" t="s">
        <v>160</v>
      </c>
      <c r="H96" t="s">
        <v>164</v>
      </c>
    </row>
    <row r="97" spans="1:8" x14ac:dyDescent="0.2">
      <c r="A97" s="1">
        <v>15</v>
      </c>
      <c r="B97">
        <v>1</v>
      </c>
      <c r="C97">
        <v>149</v>
      </c>
      <c r="D97">
        <v>146</v>
      </c>
      <c r="E97" s="5">
        <v>28611</v>
      </c>
      <c r="F97" t="s">
        <v>160</v>
      </c>
      <c r="H97" t="s">
        <v>163</v>
      </c>
    </row>
    <row r="98" spans="1:8" x14ac:dyDescent="0.2">
      <c r="A98" s="1">
        <v>16</v>
      </c>
      <c r="B98">
        <v>1</v>
      </c>
      <c r="C98">
        <v>115</v>
      </c>
      <c r="D98">
        <v>116</v>
      </c>
      <c r="E98" t="s">
        <v>127</v>
      </c>
      <c r="F98" t="s">
        <v>160</v>
      </c>
      <c r="H98" t="s">
        <v>165</v>
      </c>
    </row>
    <row r="99" spans="1:8" x14ac:dyDescent="0.2">
      <c r="A99" s="1">
        <v>20</v>
      </c>
      <c r="B99">
        <v>1</v>
      </c>
      <c r="C99">
        <v>1</v>
      </c>
      <c r="D99">
        <v>1</v>
      </c>
      <c r="E99" s="1" t="s">
        <v>166</v>
      </c>
      <c r="F99" t="s">
        <v>39</v>
      </c>
      <c r="G99" t="s">
        <v>40</v>
      </c>
    </row>
    <row r="100" spans="1:8" x14ac:dyDescent="0.2">
      <c r="A100" s="1">
        <v>20</v>
      </c>
      <c r="B100">
        <v>1</v>
      </c>
      <c r="C100">
        <v>52</v>
      </c>
      <c r="D100">
        <v>52</v>
      </c>
      <c r="E100" s="5">
        <v>28399</v>
      </c>
      <c r="F100" t="s">
        <v>159</v>
      </c>
      <c r="H100" t="s">
        <v>167</v>
      </c>
    </row>
    <row r="101" spans="1:8" x14ac:dyDescent="0.2">
      <c r="A101" s="1">
        <v>21</v>
      </c>
      <c r="B101">
        <v>1</v>
      </c>
      <c r="C101">
        <v>2</v>
      </c>
      <c r="D101">
        <v>2</v>
      </c>
      <c r="E101" s="2">
        <v>28781</v>
      </c>
      <c r="F101" t="s">
        <v>20</v>
      </c>
    </row>
    <row r="102" spans="1:8" x14ac:dyDescent="0.2">
      <c r="A102" s="1">
        <v>21</v>
      </c>
      <c r="B102">
        <v>1</v>
      </c>
      <c r="C102">
        <v>121</v>
      </c>
      <c r="D102">
        <v>122</v>
      </c>
      <c r="E102" s="5">
        <v>28764</v>
      </c>
      <c r="F102" t="s">
        <v>159</v>
      </c>
      <c r="H102" t="s">
        <v>168</v>
      </c>
    </row>
    <row r="103" spans="1:8" x14ac:dyDescent="0.2">
      <c r="A103" s="1">
        <v>22</v>
      </c>
      <c r="B103">
        <v>1</v>
      </c>
      <c r="C103">
        <v>114</v>
      </c>
      <c r="D103">
        <v>118</v>
      </c>
      <c r="E103" s="5" t="s">
        <v>131</v>
      </c>
      <c r="F103" t="s">
        <v>160</v>
      </c>
      <c r="H103" t="s">
        <v>170</v>
      </c>
    </row>
    <row r="104" spans="1:8" x14ac:dyDescent="0.2">
      <c r="A104" s="1">
        <v>24</v>
      </c>
      <c r="B104">
        <v>1</v>
      </c>
      <c r="C104">
        <v>88</v>
      </c>
      <c r="D104">
        <v>88</v>
      </c>
      <c r="E104" s="5">
        <v>28126</v>
      </c>
      <c r="F104" t="s">
        <v>160</v>
      </c>
    </row>
    <row r="105" spans="1:8" x14ac:dyDescent="0.2">
      <c r="A105" s="1">
        <v>25</v>
      </c>
      <c r="B105">
        <v>1</v>
      </c>
      <c r="C105">
        <v>50</v>
      </c>
      <c r="D105">
        <v>50</v>
      </c>
      <c r="E105" t="s">
        <v>121</v>
      </c>
      <c r="F105" t="s">
        <v>160</v>
      </c>
      <c r="H105" t="s">
        <v>171</v>
      </c>
    </row>
    <row r="106" spans="1:8" x14ac:dyDescent="0.2">
      <c r="A106" s="1">
        <v>26</v>
      </c>
      <c r="B106">
        <v>1</v>
      </c>
      <c r="C106">
        <v>3</v>
      </c>
      <c r="D106">
        <v>3</v>
      </c>
      <c r="E106" s="5">
        <v>28157</v>
      </c>
      <c r="F106" t="s">
        <v>160</v>
      </c>
      <c r="H106" t="s">
        <v>30</v>
      </c>
    </row>
    <row r="107" spans="1:8" x14ac:dyDescent="0.2">
      <c r="A107" s="1">
        <v>26</v>
      </c>
      <c r="B107">
        <v>1</v>
      </c>
      <c r="C107">
        <v>78</v>
      </c>
      <c r="D107">
        <v>78</v>
      </c>
      <c r="E107" s="5">
        <v>28157</v>
      </c>
      <c r="F107" t="s">
        <v>160</v>
      </c>
      <c r="H107" t="s">
        <v>172</v>
      </c>
    </row>
    <row r="108" spans="1:8" x14ac:dyDescent="0.2">
      <c r="A108" s="1">
        <v>27</v>
      </c>
      <c r="B108">
        <v>1</v>
      </c>
      <c r="C108" t="s">
        <v>173</v>
      </c>
      <c r="D108">
        <v>111</v>
      </c>
      <c r="E108" s="5">
        <v>28185</v>
      </c>
      <c r="F108" t="s">
        <v>160</v>
      </c>
      <c r="H108" t="s">
        <v>32</v>
      </c>
    </row>
    <row r="109" spans="1:8" x14ac:dyDescent="0.2">
      <c r="A109" s="1">
        <v>28</v>
      </c>
      <c r="B109">
        <v>1</v>
      </c>
      <c r="C109" t="s">
        <v>174</v>
      </c>
      <c r="D109">
        <v>52</v>
      </c>
      <c r="E109" s="5">
        <v>28522</v>
      </c>
      <c r="F109" t="s">
        <v>160</v>
      </c>
    </row>
    <row r="110" spans="1:8" x14ac:dyDescent="0.2">
      <c r="A110" s="1">
        <v>29</v>
      </c>
      <c r="B110">
        <v>1</v>
      </c>
      <c r="C110">
        <v>91</v>
      </c>
      <c r="D110">
        <v>90</v>
      </c>
      <c r="E110" s="5">
        <v>28550</v>
      </c>
      <c r="F110" t="s">
        <v>160</v>
      </c>
      <c r="H110" t="s">
        <v>175</v>
      </c>
    </row>
    <row r="111" spans="1:8" x14ac:dyDescent="0.2">
      <c r="A111" s="1">
        <v>30</v>
      </c>
      <c r="B111">
        <v>1</v>
      </c>
      <c r="C111">
        <v>26</v>
      </c>
      <c r="D111">
        <v>26</v>
      </c>
      <c r="E111" t="s">
        <v>125</v>
      </c>
      <c r="F111" t="s">
        <v>160</v>
      </c>
    </row>
    <row r="112" spans="1:8" x14ac:dyDescent="0.2">
      <c r="A112" s="1">
        <v>31</v>
      </c>
      <c r="B112">
        <v>1</v>
      </c>
      <c r="C112">
        <v>82</v>
      </c>
      <c r="D112">
        <v>83</v>
      </c>
      <c r="E112" s="5">
        <v>28399</v>
      </c>
      <c r="F112" t="s">
        <v>160</v>
      </c>
      <c r="H112" t="s">
        <v>176</v>
      </c>
    </row>
    <row r="113" spans="1:8" x14ac:dyDescent="0.2">
      <c r="A113" s="1">
        <v>32</v>
      </c>
      <c r="B113">
        <v>1</v>
      </c>
      <c r="C113">
        <v>10</v>
      </c>
      <c r="D113">
        <v>11</v>
      </c>
      <c r="E113" s="2">
        <v>28448</v>
      </c>
      <c r="F113" t="s">
        <v>20</v>
      </c>
      <c r="G113" t="s">
        <v>40</v>
      </c>
      <c r="H113" t="s">
        <v>177</v>
      </c>
    </row>
    <row r="114" spans="1:8" x14ac:dyDescent="0.2">
      <c r="A114" s="1">
        <v>33</v>
      </c>
      <c r="B114">
        <v>1</v>
      </c>
      <c r="C114">
        <v>3</v>
      </c>
      <c r="D114">
        <v>3</v>
      </c>
      <c r="E114" s="5">
        <v>28338</v>
      </c>
      <c r="F114" t="s">
        <v>160</v>
      </c>
    </row>
    <row r="115" spans="1:8" x14ac:dyDescent="0.2">
      <c r="A115" s="1">
        <v>33</v>
      </c>
      <c r="B115">
        <v>1</v>
      </c>
      <c r="C115">
        <v>17</v>
      </c>
      <c r="D115">
        <v>17</v>
      </c>
      <c r="E115" s="5">
        <v>28338</v>
      </c>
      <c r="F115" t="s">
        <v>160</v>
      </c>
    </row>
    <row r="116" spans="1:8" x14ac:dyDescent="0.2">
      <c r="A116" s="1">
        <v>34</v>
      </c>
      <c r="B116">
        <v>1</v>
      </c>
      <c r="C116">
        <v>14</v>
      </c>
      <c r="D116">
        <v>14</v>
      </c>
      <c r="E116" t="s">
        <v>122</v>
      </c>
      <c r="F116" t="s">
        <v>160</v>
      </c>
    </row>
    <row r="117" spans="1:8" x14ac:dyDescent="0.2">
      <c r="A117" s="1">
        <v>35</v>
      </c>
      <c r="B117">
        <v>1</v>
      </c>
      <c r="C117">
        <v>12</v>
      </c>
      <c r="D117">
        <v>12</v>
      </c>
      <c r="E117" s="5">
        <v>28307</v>
      </c>
      <c r="F117" t="s">
        <v>160</v>
      </c>
    </row>
    <row r="118" spans="1:8" x14ac:dyDescent="0.2">
      <c r="A118" s="1">
        <v>36</v>
      </c>
      <c r="B118">
        <v>1</v>
      </c>
      <c r="C118">
        <v>37</v>
      </c>
      <c r="D118">
        <v>40</v>
      </c>
      <c r="E118" s="5">
        <v>28338</v>
      </c>
      <c r="F118" t="s">
        <v>178</v>
      </c>
      <c r="H118" t="s">
        <v>179</v>
      </c>
    </row>
    <row r="119" spans="1:8" x14ac:dyDescent="0.2">
      <c r="A119" s="1">
        <v>38</v>
      </c>
      <c r="B119">
        <v>1</v>
      </c>
      <c r="C119">
        <v>97</v>
      </c>
      <c r="D119">
        <v>96</v>
      </c>
      <c r="E119" s="5">
        <v>28703</v>
      </c>
      <c r="F119" t="s">
        <v>160</v>
      </c>
      <c r="H119" t="s">
        <v>180</v>
      </c>
    </row>
    <row r="120" spans="1:8" x14ac:dyDescent="0.2">
      <c r="A120" s="1">
        <v>39</v>
      </c>
      <c r="B120">
        <v>1</v>
      </c>
      <c r="C120">
        <v>83</v>
      </c>
      <c r="D120">
        <v>81</v>
      </c>
      <c r="E120" s="5">
        <v>28915</v>
      </c>
      <c r="F120" t="s">
        <v>160</v>
      </c>
      <c r="H120" t="s">
        <v>181</v>
      </c>
    </row>
    <row r="121" spans="1:8" x14ac:dyDescent="0.2">
      <c r="A121" s="1">
        <v>40</v>
      </c>
      <c r="B121">
        <v>1</v>
      </c>
      <c r="C121" t="s">
        <v>182</v>
      </c>
      <c r="D121">
        <v>32</v>
      </c>
      <c r="E121" s="5">
        <v>28399</v>
      </c>
      <c r="F121" t="s">
        <v>183</v>
      </c>
      <c r="H121" t="s">
        <v>184</v>
      </c>
    </row>
    <row r="122" spans="1:8" x14ac:dyDescent="0.2">
      <c r="A122" s="1">
        <v>44</v>
      </c>
      <c r="B122">
        <v>1</v>
      </c>
      <c r="C122">
        <v>200</v>
      </c>
      <c r="D122">
        <v>196</v>
      </c>
      <c r="E122" s="7" t="s">
        <v>187</v>
      </c>
      <c r="F122" t="s">
        <v>160</v>
      </c>
      <c r="H122" t="s">
        <v>185</v>
      </c>
    </row>
    <row r="123" spans="1:8" x14ac:dyDescent="0.2">
      <c r="A123" s="1">
        <v>45</v>
      </c>
      <c r="B123">
        <v>201</v>
      </c>
      <c r="C123">
        <v>400</v>
      </c>
      <c r="D123">
        <v>204</v>
      </c>
      <c r="E123" s="7" t="s">
        <v>187</v>
      </c>
      <c r="F123" t="s">
        <v>160</v>
      </c>
      <c r="H123" t="s">
        <v>186</v>
      </c>
    </row>
    <row r="124" spans="1:8" x14ac:dyDescent="0.2">
      <c r="A124" s="1">
        <v>46</v>
      </c>
      <c r="B124">
        <v>401</v>
      </c>
      <c r="C124">
        <v>600</v>
      </c>
      <c r="D124">
        <v>209</v>
      </c>
      <c r="E124" s="7" t="s">
        <v>187</v>
      </c>
      <c r="F124" t="s">
        <v>160</v>
      </c>
      <c r="H124" t="s">
        <v>188</v>
      </c>
    </row>
    <row r="125" spans="1:8" x14ac:dyDescent="0.2">
      <c r="A125" s="1">
        <v>48</v>
      </c>
      <c r="B125">
        <v>801</v>
      </c>
      <c r="C125">
        <v>999</v>
      </c>
      <c r="D125">
        <v>204</v>
      </c>
      <c r="E125" s="7" t="s">
        <v>187</v>
      </c>
      <c r="H125" t="s">
        <v>189</v>
      </c>
    </row>
    <row r="126" spans="1:8" x14ac:dyDescent="0.2">
      <c r="A126" s="1">
        <v>49</v>
      </c>
      <c r="B126">
        <v>1001</v>
      </c>
      <c r="C126">
        <v>1164</v>
      </c>
      <c r="D126">
        <v>164</v>
      </c>
      <c r="E126" t="s">
        <v>139</v>
      </c>
      <c r="F126" t="s">
        <v>160</v>
      </c>
      <c r="H126" t="s">
        <v>190</v>
      </c>
    </row>
    <row r="127" spans="1:8" x14ac:dyDescent="0.2">
      <c r="A127" s="1">
        <v>50</v>
      </c>
      <c r="B127">
        <v>1</v>
      </c>
      <c r="C127">
        <v>143</v>
      </c>
      <c r="D127">
        <v>152</v>
      </c>
      <c r="E127" s="5">
        <v>28491</v>
      </c>
      <c r="F127" t="s">
        <v>160</v>
      </c>
      <c r="H127" t="s">
        <v>191</v>
      </c>
    </row>
    <row r="128" spans="1:8" x14ac:dyDescent="0.2">
      <c r="A128" s="1">
        <v>53</v>
      </c>
      <c r="B128" t="s">
        <v>193</v>
      </c>
      <c r="C128" t="s">
        <v>194</v>
      </c>
      <c r="D128">
        <v>7</v>
      </c>
      <c r="E128" s="4">
        <v>29952</v>
      </c>
      <c r="F128" t="s">
        <v>160</v>
      </c>
    </row>
    <row r="129" spans="1:8" x14ac:dyDescent="0.2">
      <c r="A129" s="1">
        <v>53</v>
      </c>
      <c r="B129" t="s">
        <v>195</v>
      </c>
      <c r="C129" t="s">
        <v>196</v>
      </c>
      <c r="D129">
        <v>5</v>
      </c>
      <c r="E129" s="4">
        <v>29952</v>
      </c>
      <c r="F129" t="s">
        <v>160</v>
      </c>
    </row>
    <row r="130" spans="1:8" x14ac:dyDescent="0.2">
      <c r="A130" s="1">
        <v>53</v>
      </c>
      <c r="B130" t="s">
        <v>197</v>
      </c>
      <c r="C130" t="s">
        <v>198</v>
      </c>
      <c r="D130">
        <v>18</v>
      </c>
      <c r="E130" s="4">
        <v>29952</v>
      </c>
      <c r="F130" t="s">
        <v>160</v>
      </c>
    </row>
    <row r="131" spans="1:8" x14ac:dyDescent="0.2">
      <c r="A131" s="1">
        <v>53</v>
      </c>
      <c r="B131" t="s">
        <v>199</v>
      </c>
      <c r="C131" t="s">
        <v>200</v>
      </c>
      <c r="D131">
        <v>14</v>
      </c>
      <c r="E131" s="4">
        <v>29952</v>
      </c>
      <c r="F131" t="s">
        <v>160</v>
      </c>
    </row>
    <row r="132" spans="1:8" x14ac:dyDescent="0.2">
      <c r="A132" s="1">
        <v>53</v>
      </c>
      <c r="B132" t="s">
        <v>201</v>
      </c>
      <c r="C132" t="s">
        <v>202</v>
      </c>
      <c r="D132">
        <v>10</v>
      </c>
      <c r="E132" s="4">
        <v>29952</v>
      </c>
      <c r="F132" t="s">
        <v>160</v>
      </c>
    </row>
    <row r="133" spans="1:8" x14ac:dyDescent="0.2">
      <c r="A133" s="1">
        <v>53</v>
      </c>
      <c r="B133" t="s">
        <v>203</v>
      </c>
      <c r="C133" t="s">
        <v>204</v>
      </c>
      <c r="D133">
        <v>12</v>
      </c>
      <c r="E133" s="4">
        <v>29952</v>
      </c>
      <c r="F133" t="s">
        <v>160</v>
      </c>
    </row>
    <row r="134" spans="1:8" x14ac:dyDescent="0.2">
      <c r="A134" s="1">
        <v>53</v>
      </c>
      <c r="B134" t="s">
        <v>205</v>
      </c>
      <c r="C134" t="s">
        <v>206</v>
      </c>
      <c r="D134">
        <v>21</v>
      </c>
      <c r="E134" s="4">
        <v>29952</v>
      </c>
      <c r="F134" t="s">
        <v>160</v>
      </c>
      <c r="H134" t="s">
        <v>207</v>
      </c>
    </row>
    <row r="135" spans="1:8" x14ac:dyDescent="0.2">
      <c r="A135" s="1">
        <v>53</v>
      </c>
      <c r="B135" t="s">
        <v>208</v>
      </c>
      <c r="C135" t="s">
        <v>209</v>
      </c>
      <c r="D135">
        <v>29</v>
      </c>
      <c r="E135" s="4">
        <v>29952</v>
      </c>
      <c r="F135" t="s">
        <v>160</v>
      </c>
    </row>
    <row r="136" spans="1:8" x14ac:dyDescent="0.2">
      <c r="A136" s="1">
        <v>53</v>
      </c>
      <c r="B136" t="s">
        <v>210</v>
      </c>
      <c r="C136" t="s">
        <v>210</v>
      </c>
      <c r="D136">
        <v>1</v>
      </c>
      <c r="E136" s="4">
        <v>29952</v>
      </c>
      <c r="F136" t="s">
        <v>160</v>
      </c>
    </row>
    <row r="137" spans="1:8" x14ac:dyDescent="0.2">
      <c r="A137" s="1">
        <v>54</v>
      </c>
      <c r="B137" t="s">
        <v>211</v>
      </c>
      <c r="C137" t="s">
        <v>212</v>
      </c>
      <c r="D137">
        <v>16</v>
      </c>
      <c r="E137" s="5">
        <v>29983</v>
      </c>
      <c r="F137" t="s">
        <v>160</v>
      </c>
    </row>
    <row r="138" spans="1:8" x14ac:dyDescent="0.2">
      <c r="A138" s="1">
        <v>54</v>
      </c>
      <c r="B138" t="s">
        <v>213</v>
      </c>
      <c r="C138" t="s">
        <v>214</v>
      </c>
      <c r="D138">
        <v>35</v>
      </c>
      <c r="E138" s="5">
        <v>29983</v>
      </c>
      <c r="F138" t="s">
        <v>160</v>
      </c>
    </row>
    <row r="139" spans="1:8" x14ac:dyDescent="0.2">
      <c r="A139" s="1">
        <v>54</v>
      </c>
      <c r="B139" t="s">
        <v>215</v>
      </c>
      <c r="C139" t="s">
        <v>216</v>
      </c>
      <c r="D139">
        <v>9</v>
      </c>
      <c r="E139" s="5">
        <v>29983</v>
      </c>
      <c r="F139" t="s">
        <v>160</v>
      </c>
    </row>
    <row r="140" spans="1:8" x14ac:dyDescent="0.2">
      <c r="A140" s="1">
        <v>54</v>
      </c>
      <c r="B140" t="s">
        <v>217</v>
      </c>
      <c r="C140" t="s">
        <v>218</v>
      </c>
      <c r="D140">
        <v>46</v>
      </c>
      <c r="E140" s="5">
        <v>29983</v>
      </c>
      <c r="F140" t="s">
        <v>160</v>
      </c>
      <c r="H140" t="s">
        <v>219</v>
      </c>
    </row>
    <row r="141" spans="1:8" x14ac:dyDescent="0.2">
      <c r="A141" s="1">
        <v>54</v>
      </c>
      <c r="B141" t="s">
        <v>220</v>
      </c>
      <c r="C141" t="s">
        <v>221</v>
      </c>
      <c r="D141">
        <v>29</v>
      </c>
      <c r="E141" s="5">
        <v>29983</v>
      </c>
      <c r="F141" t="s">
        <v>160</v>
      </c>
    </row>
    <row r="142" spans="1:8" x14ac:dyDescent="0.2">
      <c r="A142" s="1">
        <v>55</v>
      </c>
      <c r="B142" t="s">
        <v>222</v>
      </c>
      <c r="C142" t="s">
        <v>223</v>
      </c>
      <c r="D142">
        <v>9</v>
      </c>
      <c r="E142" t="s">
        <v>158</v>
      </c>
      <c r="F142" t="s">
        <v>160</v>
      </c>
    </row>
    <row r="143" spans="1:8" x14ac:dyDescent="0.2">
      <c r="A143" s="1">
        <v>55</v>
      </c>
      <c r="B143" t="s">
        <v>224</v>
      </c>
      <c r="C143" t="s">
        <v>225</v>
      </c>
      <c r="D143">
        <v>3</v>
      </c>
      <c r="E143" t="s">
        <v>158</v>
      </c>
      <c r="F143" t="s">
        <v>160</v>
      </c>
    </row>
    <row r="144" spans="1:8" x14ac:dyDescent="0.2">
      <c r="A144" s="1">
        <v>55</v>
      </c>
      <c r="B144" t="s">
        <v>226</v>
      </c>
      <c r="C144" t="s">
        <v>227</v>
      </c>
      <c r="D144">
        <v>5</v>
      </c>
      <c r="E144" t="s">
        <v>158</v>
      </c>
      <c r="F144" t="s">
        <v>160</v>
      </c>
    </row>
    <row r="145" spans="1:8" x14ac:dyDescent="0.2">
      <c r="A145" s="1">
        <v>55</v>
      </c>
      <c r="B145" t="s">
        <v>228</v>
      </c>
      <c r="C145" t="s">
        <v>230</v>
      </c>
      <c r="D145">
        <v>26</v>
      </c>
      <c r="E145" t="s">
        <v>158</v>
      </c>
      <c r="F145" t="s">
        <v>160</v>
      </c>
      <c r="H145" t="s">
        <v>229</v>
      </c>
    </row>
    <row r="146" spans="1:8" x14ac:dyDescent="0.2">
      <c r="A146" s="1">
        <v>55</v>
      </c>
      <c r="B146" t="s">
        <v>231</v>
      </c>
      <c r="C146" t="s">
        <v>232</v>
      </c>
      <c r="D146">
        <v>3</v>
      </c>
      <c r="E146" t="s">
        <v>158</v>
      </c>
      <c r="F146" t="s">
        <v>160</v>
      </c>
    </row>
    <row r="147" spans="1:8" x14ac:dyDescent="0.2">
      <c r="A147" s="1">
        <v>55</v>
      </c>
      <c r="B147" t="s">
        <v>233</v>
      </c>
      <c r="C147" t="s">
        <v>234</v>
      </c>
      <c r="D147">
        <v>10</v>
      </c>
      <c r="E147" t="s">
        <v>158</v>
      </c>
      <c r="F147" t="s">
        <v>160</v>
      </c>
    </row>
    <row r="148" spans="1:8" x14ac:dyDescent="0.2">
      <c r="A148" s="1">
        <v>55</v>
      </c>
      <c r="B148" t="s">
        <v>235</v>
      </c>
      <c r="C148" t="s">
        <v>236</v>
      </c>
      <c r="D148">
        <v>4</v>
      </c>
      <c r="E148" t="s">
        <v>158</v>
      </c>
      <c r="F148" t="s">
        <v>160</v>
      </c>
    </row>
    <row r="149" spans="1:8" x14ac:dyDescent="0.2">
      <c r="A149" s="1">
        <v>55</v>
      </c>
      <c r="B149" t="s">
        <v>237</v>
      </c>
      <c r="C149" t="s">
        <v>238</v>
      </c>
      <c r="D149">
        <v>2</v>
      </c>
      <c r="E149" t="s">
        <v>158</v>
      </c>
      <c r="F149" t="s">
        <v>160</v>
      </c>
    </row>
    <row r="150" spans="1:8" x14ac:dyDescent="0.2">
      <c r="A150" s="1">
        <v>55</v>
      </c>
      <c r="B150" t="s">
        <v>239</v>
      </c>
      <c r="C150" t="s">
        <v>240</v>
      </c>
      <c r="D150">
        <v>10</v>
      </c>
      <c r="E150" t="s">
        <v>158</v>
      </c>
      <c r="F150" t="s">
        <v>160</v>
      </c>
    </row>
    <row r="151" spans="1:8" x14ac:dyDescent="0.2">
      <c r="A151" s="1">
        <v>55</v>
      </c>
      <c r="B151" t="s">
        <v>241</v>
      </c>
      <c r="C151" t="s">
        <v>242</v>
      </c>
      <c r="D151">
        <v>12</v>
      </c>
      <c r="E151" t="s">
        <v>158</v>
      </c>
      <c r="F151" t="s">
        <v>160</v>
      </c>
    </row>
    <row r="152" spans="1:8" x14ac:dyDescent="0.2">
      <c r="A152" s="1">
        <v>55</v>
      </c>
      <c r="B152" t="s">
        <v>243</v>
      </c>
      <c r="C152" t="s">
        <v>244</v>
      </c>
      <c r="D152">
        <v>4</v>
      </c>
      <c r="E152" t="s">
        <v>158</v>
      </c>
      <c r="F152" t="s">
        <v>160</v>
      </c>
    </row>
    <row r="153" spans="1:8" x14ac:dyDescent="0.2">
      <c r="A153" s="1">
        <v>55</v>
      </c>
      <c r="B153" t="s">
        <v>245</v>
      </c>
      <c r="C153" t="s">
        <v>246</v>
      </c>
      <c r="D153">
        <v>22</v>
      </c>
      <c r="E153" t="s">
        <v>158</v>
      </c>
      <c r="F153" t="s">
        <v>160</v>
      </c>
      <c r="H153" t="s">
        <v>247</v>
      </c>
    </row>
    <row r="154" spans="1:8" x14ac:dyDescent="0.2">
      <c r="A154" s="1">
        <v>55</v>
      </c>
      <c r="B154" t="s">
        <v>248</v>
      </c>
      <c r="C154" t="s">
        <v>249</v>
      </c>
      <c r="D154">
        <v>89</v>
      </c>
      <c r="E154" t="s">
        <v>158</v>
      </c>
      <c r="F154" t="s">
        <v>160</v>
      </c>
      <c r="H154" t="s">
        <v>250</v>
      </c>
    </row>
    <row r="155" spans="1:8" x14ac:dyDescent="0.2">
      <c r="A155" s="1">
        <v>56</v>
      </c>
      <c r="B155">
        <v>1</v>
      </c>
      <c r="C155">
        <v>3</v>
      </c>
      <c r="D155">
        <v>3</v>
      </c>
      <c r="E155" s="2">
        <v>29816</v>
      </c>
      <c r="F155" t="s">
        <v>20</v>
      </c>
      <c r="G155" t="s">
        <v>254</v>
      </c>
      <c r="H155" t="s">
        <v>251</v>
      </c>
    </row>
    <row r="156" spans="1:8" x14ac:dyDescent="0.2">
      <c r="A156" s="1">
        <v>56</v>
      </c>
      <c r="B156" t="s">
        <v>252</v>
      </c>
      <c r="D156">
        <v>1</v>
      </c>
      <c r="E156" s="2">
        <v>29816</v>
      </c>
      <c r="F156" t="s">
        <v>253</v>
      </c>
      <c r="G156" t="s">
        <v>256</v>
      </c>
    </row>
    <row r="157" spans="1:8" x14ac:dyDescent="0.2">
      <c r="A157" s="1">
        <v>56</v>
      </c>
      <c r="B157">
        <v>1</v>
      </c>
      <c r="C157">
        <v>2</v>
      </c>
      <c r="D157">
        <v>2</v>
      </c>
      <c r="E157" s="2">
        <v>29848</v>
      </c>
      <c r="F157" t="s">
        <v>20</v>
      </c>
      <c r="G157" t="s">
        <v>255</v>
      </c>
    </row>
    <row r="158" spans="1:8" x14ac:dyDescent="0.2">
      <c r="A158" s="1">
        <v>56</v>
      </c>
      <c r="B158">
        <v>1</v>
      </c>
      <c r="C158">
        <v>2</v>
      </c>
      <c r="D158">
        <v>2</v>
      </c>
      <c r="E158" s="2">
        <v>29849</v>
      </c>
      <c r="F158" t="s">
        <v>20</v>
      </c>
      <c r="G158" t="s">
        <v>255</v>
      </c>
    </row>
    <row r="159" spans="1:8" x14ac:dyDescent="0.2">
      <c r="A159" s="1">
        <v>56</v>
      </c>
      <c r="B159">
        <v>1</v>
      </c>
      <c r="C159">
        <v>2</v>
      </c>
      <c r="D159">
        <v>2</v>
      </c>
      <c r="E159" s="2">
        <v>29852</v>
      </c>
      <c r="F159" t="s">
        <v>20</v>
      </c>
      <c r="G159" t="s">
        <v>257</v>
      </c>
    </row>
    <row r="160" spans="1:8" x14ac:dyDescent="0.2">
      <c r="A160" s="1">
        <v>56</v>
      </c>
      <c r="B160">
        <v>1</v>
      </c>
      <c r="C160">
        <v>2</v>
      </c>
      <c r="D160">
        <v>2</v>
      </c>
      <c r="E160" s="2">
        <v>29859</v>
      </c>
      <c r="F160" t="s">
        <v>20</v>
      </c>
      <c r="G160" t="s">
        <v>254</v>
      </c>
    </row>
    <row r="161" spans="1:8" x14ac:dyDescent="0.2">
      <c r="A161" s="1">
        <v>56</v>
      </c>
      <c r="B161">
        <v>1</v>
      </c>
      <c r="C161">
        <v>2</v>
      </c>
      <c r="D161">
        <v>2</v>
      </c>
      <c r="E161" s="2">
        <v>29861</v>
      </c>
      <c r="F161" t="s">
        <v>20</v>
      </c>
      <c r="G161" t="s">
        <v>254</v>
      </c>
    </row>
    <row r="162" spans="1:8" x14ac:dyDescent="0.2">
      <c r="A162" s="1">
        <v>56</v>
      </c>
      <c r="B162">
        <v>1</v>
      </c>
      <c r="C162">
        <v>1</v>
      </c>
      <c r="D162">
        <v>1</v>
      </c>
      <c r="E162" s="2">
        <v>29840</v>
      </c>
      <c r="F162" t="s">
        <v>20</v>
      </c>
      <c r="G162" t="s">
        <v>258</v>
      </c>
    </row>
    <row r="163" spans="1:8" x14ac:dyDescent="0.2">
      <c r="A163" s="1">
        <v>56</v>
      </c>
      <c r="B163" t="s">
        <v>260</v>
      </c>
      <c r="C163" t="s">
        <v>259</v>
      </c>
      <c r="D163">
        <v>4</v>
      </c>
      <c r="E163" s="2">
        <v>29841</v>
      </c>
      <c r="F163" t="s">
        <v>20</v>
      </c>
      <c r="G163" t="s">
        <v>261</v>
      </c>
    </row>
    <row r="164" spans="1:8" x14ac:dyDescent="0.2">
      <c r="A164" s="1">
        <v>56</v>
      </c>
      <c r="B164">
        <v>1</v>
      </c>
      <c r="C164">
        <v>21</v>
      </c>
      <c r="D164">
        <v>21</v>
      </c>
      <c r="E164" s="2">
        <v>29907</v>
      </c>
      <c r="F164" t="s">
        <v>20</v>
      </c>
      <c r="G164" t="s">
        <v>23</v>
      </c>
    </row>
    <row r="165" spans="1:8" x14ac:dyDescent="0.2">
      <c r="A165" s="1">
        <v>56</v>
      </c>
      <c r="B165" t="s">
        <v>203</v>
      </c>
      <c r="C165" t="s">
        <v>262</v>
      </c>
      <c r="D165">
        <v>32</v>
      </c>
      <c r="E165" t="s">
        <v>263</v>
      </c>
      <c r="F165" t="s">
        <v>268</v>
      </c>
    </row>
    <row r="166" spans="1:8" x14ac:dyDescent="0.2">
      <c r="A166" s="1">
        <v>56</v>
      </c>
      <c r="B166" t="s">
        <v>205</v>
      </c>
      <c r="C166" t="s">
        <v>265</v>
      </c>
      <c r="D166">
        <v>32</v>
      </c>
      <c r="E166" t="s">
        <v>263</v>
      </c>
      <c r="F166" t="s">
        <v>253</v>
      </c>
      <c r="H166" t="s">
        <v>264</v>
      </c>
    </row>
    <row r="167" spans="1:8" x14ac:dyDescent="0.2">
      <c r="A167" s="1">
        <v>56</v>
      </c>
      <c r="B167" t="s">
        <v>208</v>
      </c>
      <c r="C167" t="s">
        <v>267</v>
      </c>
      <c r="D167">
        <v>26</v>
      </c>
      <c r="E167" t="s">
        <v>263</v>
      </c>
      <c r="F167" t="s">
        <v>253</v>
      </c>
      <c r="H167" t="s">
        <v>266</v>
      </c>
    </row>
    <row r="168" spans="1:8" x14ac:dyDescent="0.2">
      <c r="A168" s="1">
        <v>56</v>
      </c>
      <c r="B168" t="s">
        <v>211</v>
      </c>
      <c r="C168" t="s">
        <v>269</v>
      </c>
      <c r="D168">
        <v>39</v>
      </c>
      <c r="E168" t="s">
        <v>263</v>
      </c>
      <c r="F168" t="s">
        <v>253</v>
      </c>
    </row>
    <row r="169" spans="1:8" x14ac:dyDescent="0.2">
      <c r="A169" s="1">
        <v>56</v>
      </c>
      <c r="B169">
        <v>1</v>
      </c>
      <c r="C169" t="s">
        <v>270</v>
      </c>
      <c r="D169">
        <v>9</v>
      </c>
      <c r="E169" t="s">
        <v>263</v>
      </c>
      <c r="F169" t="s">
        <v>253</v>
      </c>
    </row>
    <row r="170" spans="1:8" x14ac:dyDescent="0.2">
      <c r="A170" s="1">
        <v>56</v>
      </c>
      <c r="B170" t="s">
        <v>215</v>
      </c>
      <c r="C170" t="s">
        <v>271</v>
      </c>
      <c r="D170">
        <v>6</v>
      </c>
      <c r="E170" t="s">
        <v>263</v>
      </c>
      <c r="F170" t="s">
        <v>253</v>
      </c>
      <c r="H170" t="s">
        <v>272</v>
      </c>
    </row>
    <row r="171" spans="1:8" x14ac:dyDescent="0.2">
      <c r="A171" s="1">
        <v>56</v>
      </c>
      <c r="B171" t="s">
        <v>45</v>
      </c>
      <c r="C171" t="s">
        <v>45</v>
      </c>
      <c r="D171">
        <v>1</v>
      </c>
      <c r="E171" t="s">
        <v>263</v>
      </c>
      <c r="F171" t="s">
        <v>253</v>
      </c>
      <c r="G171" t="s">
        <v>273</v>
      </c>
    </row>
    <row r="172" spans="1:8" x14ac:dyDescent="0.2">
      <c r="A172" s="1">
        <v>56</v>
      </c>
      <c r="B172">
        <v>1</v>
      </c>
      <c r="C172">
        <v>18</v>
      </c>
      <c r="E172" s="2">
        <v>29932</v>
      </c>
      <c r="F172" t="s">
        <v>20</v>
      </c>
      <c r="G172" t="s">
        <v>274</v>
      </c>
    </row>
    <row r="173" spans="1:8" x14ac:dyDescent="0.2">
      <c r="A173">
        <v>56</v>
      </c>
      <c r="B173" t="s">
        <v>239</v>
      </c>
      <c r="C173" t="s">
        <v>275</v>
      </c>
      <c r="D173">
        <v>7</v>
      </c>
      <c r="E173" t="s">
        <v>263</v>
      </c>
      <c r="F173" t="s">
        <v>253</v>
      </c>
    </row>
    <row r="174" spans="1:8" x14ac:dyDescent="0.2">
      <c r="A174" s="1">
        <v>57</v>
      </c>
      <c r="B174" t="s">
        <v>193</v>
      </c>
      <c r="C174" t="s">
        <v>277</v>
      </c>
      <c r="D174">
        <v>2</v>
      </c>
      <c r="E174" s="5">
        <v>29983</v>
      </c>
      <c r="F174" t="s">
        <v>160</v>
      </c>
    </row>
    <row r="175" spans="1:8" x14ac:dyDescent="0.2">
      <c r="A175" s="1">
        <v>57</v>
      </c>
      <c r="B175" t="s">
        <v>278</v>
      </c>
      <c r="C175" t="s">
        <v>279</v>
      </c>
      <c r="D175">
        <v>39</v>
      </c>
      <c r="E175" t="s">
        <v>276</v>
      </c>
      <c r="F175" t="s">
        <v>253</v>
      </c>
      <c r="H175" t="s">
        <v>280</v>
      </c>
    </row>
    <row r="176" spans="1:8" x14ac:dyDescent="0.2">
      <c r="A176" s="1">
        <v>57</v>
      </c>
      <c r="B176" t="s">
        <v>281</v>
      </c>
      <c r="C176" t="s">
        <v>282</v>
      </c>
      <c r="D176">
        <v>4</v>
      </c>
      <c r="E176" t="s">
        <v>276</v>
      </c>
      <c r="F176" t="s">
        <v>253</v>
      </c>
    </row>
    <row r="177" spans="1:8" x14ac:dyDescent="0.2">
      <c r="A177" s="1">
        <v>57</v>
      </c>
      <c r="B177" t="s">
        <v>283</v>
      </c>
      <c r="C177" t="s">
        <v>284</v>
      </c>
      <c r="D177">
        <v>4</v>
      </c>
      <c r="E177" t="s">
        <v>276</v>
      </c>
      <c r="F177" t="s">
        <v>253</v>
      </c>
      <c r="H177" t="s">
        <v>285</v>
      </c>
    </row>
    <row r="178" spans="1:8" x14ac:dyDescent="0.2">
      <c r="A178" s="1">
        <v>58</v>
      </c>
      <c r="B178">
        <v>1</v>
      </c>
      <c r="C178">
        <v>29</v>
      </c>
      <c r="D178">
        <v>29</v>
      </c>
      <c r="E178" s="2">
        <v>28513</v>
      </c>
      <c r="F178" t="s">
        <v>20</v>
      </c>
      <c r="H178" t="s">
        <v>286</v>
      </c>
    </row>
    <row r="179" spans="1:8" x14ac:dyDescent="0.2">
      <c r="A179" s="1">
        <v>62</v>
      </c>
      <c r="B179" t="s">
        <v>287</v>
      </c>
      <c r="C179" t="s">
        <v>288</v>
      </c>
      <c r="D179">
        <f>100-29</f>
        <v>71</v>
      </c>
      <c r="E179" t="s">
        <v>154</v>
      </c>
      <c r="F179" t="s">
        <v>160</v>
      </c>
      <c r="H179" t="s">
        <v>285</v>
      </c>
    </row>
    <row r="180" spans="1:8" x14ac:dyDescent="0.2">
      <c r="A180" s="1">
        <v>62</v>
      </c>
      <c r="B180" t="s">
        <v>289</v>
      </c>
      <c r="C180" t="s">
        <v>290</v>
      </c>
      <c r="D180">
        <f>221-155</f>
        <v>66</v>
      </c>
      <c r="E180" t="s">
        <v>154</v>
      </c>
      <c r="F180" t="s">
        <v>160</v>
      </c>
      <c r="H180" t="s">
        <v>285</v>
      </c>
    </row>
    <row r="181" spans="1:8" x14ac:dyDescent="0.2">
      <c r="A181" s="1">
        <v>63</v>
      </c>
      <c r="B181" t="s">
        <v>199</v>
      </c>
      <c r="C181" t="s">
        <v>291</v>
      </c>
      <c r="D181">
        <v>53</v>
      </c>
      <c r="E181" t="s">
        <v>158</v>
      </c>
      <c r="F181" t="s">
        <v>293</v>
      </c>
      <c r="H181" t="s">
        <v>294</v>
      </c>
    </row>
    <row r="182" spans="1:8" x14ac:dyDescent="0.2">
      <c r="A182" s="1">
        <v>63</v>
      </c>
      <c r="B182" t="s">
        <v>292</v>
      </c>
      <c r="C182" t="s">
        <v>296</v>
      </c>
      <c r="D182">
        <v>5</v>
      </c>
      <c r="E182" t="s">
        <v>158</v>
      </c>
      <c r="F182" t="s">
        <v>293</v>
      </c>
      <c r="H182" t="s">
        <v>295</v>
      </c>
    </row>
    <row r="183" spans="1:8" x14ac:dyDescent="0.2">
      <c r="A183" s="1">
        <v>64</v>
      </c>
      <c r="B183" t="s">
        <v>201</v>
      </c>
      <c r="C183" t="s">
        <v>297</v>
      </c>
      <c r="D183">
        <v>28</v>
      </c>
      <c r="E183" t="s">
        <v>158</v>
      </c>
      <c r="F183" t="s">
        <v>293</v>
      </c>
    </row>
    <row r="184" spans="1:8" x14ac:dyDescent="0.2">
      <c r="A184" s="1">
        <v>64</v>
      </c>
      <c r="B184" t="s">
        <v>298</v>
      </c>
      <c r="C184" t="s">
        <v>299</v>
      </c>
      <c r="D184">
        <v>12</v>
      </c>
      <c r="E184" t="s">
        <v>158</v>
      </c>
      <c r="F184" t="s">
        <v>293</v>
      </c>
    </row>
    <row r="185" spans="1:8" x14ac:dyDescent="0.2">
      <c r="A185" s="1">
        <v>64</v>
      </c>
      <c r="B185" t="s">
        <v>300</v>
      </c>
      <c r="C185" t="s">
        <v>301</v>
      </c>
      <c r="D185">
        <v>2</v>
      </c>
      <c r="E185" t="s">
        <v>158</v>
      </c>
      <c r="F185" t="s">
        <v>293</v>
      </c>
      <c r="H185" t="s">
        <v>302</v>
      </c>
    </row>
    <row r="186" spans="1:8" x14ac:dyDescent="0.2">
      <c r="A186" s="1">
        <v>81</v>
      </c>
      <c r="B186" t="s">
        <v>303</v>
      </c>
      <c r="C186" t="s">
        <v>304</v>
      </c>
      <c r="D186">
        <v>108</v>
      </c>
      <c r="E186" t="s">
        <v>153</v>
      </c>
      <c r="F186" t="s">
        <v>160</v>
      </c>
    </row>
    <row r="187" spans="1:8" x14ac:dyDescent="0.2">
      <c r="A187" s="1">
        <v>81</v>
      </c>
      <c r="B187" t="s">
        <v>305</v>
      </c>
      <c r="C187" t="s">
        <v>306</v>
      </c>
      <c r="D187">
        <v>6</v>
      </c>
      <c r="E187" t="s">
        <v>153</v>
      </c>
      <c r="F187" t="s">
        <v>160</v>
      </c>
    </row>
    <row r="188" spans="1:8" x14ac:dyDescent="0.2">
      <c r="A188" s="1">
        <v>81</v>
      </c>
      <c r="B188" t="s">
        <v>307</v>
      </c>
      <c r="C188" t="s">
        <v>308</v>
      </c>
      <c r="D188">
        <v>2</v>
      </c>
      <c r="E188" t="s">
        <v>153</v>
      </c>
      <c r="F188" t="s">
        <v>160</v>
      </c>
    </row>
    <row r="189" spans="1:8" x14ac:dyDescent="0.2">
      <c r="A189" s="1">
        <v>81</v>
      </c>
      <c r="B189" t="s">
        <v>309</v>
      </c>
      <c r="C189" t="s">
        <v>310</v>
      </c>
      <c r="D189">
        <v>8</v>
      </c>
      <c r="E189" t="s">
        <v>153</v>
      </c>
      <c r="F189" t="s">
        <v>160</v>
      </c>
    </row>
    <row r="190" spans="1:8" x14ac:dyDescent="0.2">
      <c r="A190" s="1">
        <v>81</v>
      </c>
      <c r="B190" t="s">
        <v>311</v>
      </c>
      <c r="C190" t="s">
        <v>313</v>
      </c>
      <c r="D190">
        <f>323-124</f>
        <v>199</v>
      </c>
      <c r="E190" t="s">
        <v>153</v>
      </c>
      <c r="F190" t="s">
        <v>160</v>
      </c>
      <c r="H190" t="s">
        <v>312</v>
      </c>
    </row>
    <row r="191" spans="1:8" x14ac:dyDescent="0.2">
      <c r="A191" s="1">
        <v>82</v>
      </c>
      <c r="B191">
        <v>1</v>
      </c>
      <c r="C191">
        <v>3</v>
      </c>
      <c r="D191">
        <v>3</v>
      </c>
      <c r="E191" s="2">
        <v>29250</v>
      </c>
      <c r="F191" t="s">
        <v>20</v>
      </c>
      <c r="G191" t="s">
        <v>23</v>
      </c>
    </row>
    <row r="192" spans="1:8" x14ac:dyDescent="0.2">
      <c r="A192" s="1">
        <v>82</v>
      </c>
      <c r="B192">
        <v>1</v>
      </c>
      <c r="C192" t="s">
        <v>314</v>
      </c>
      <c r="D192">
        <v>26</v>
      </c>
      <c r="E192" s="2">
        <v>29280</v>
      </c>
      <c r="F192" t="s">
        <v>20</v>
      </c>
      <c r="G192" t="s">
        <v>23</v>
      </c>
    </row>
    <row r="193" spans="1:8" x14ac:dyDescent="0.2">
      <c r="A193" s="1">
        <v>82</v>
      </c>
      <c r="B193">
        <v>1</v>
      </c>
      <c r="C193">
        <v>22</v>
      </c>
      <c r="D193">
        <v>22</v>
      </c>
      <c r="E193" s="2">
        <v>29282</v>
      </c>
      <c r="F193" t="s">
        <v>20</v>
      </c>
      <c r="G193" t="s">
        <v>23</v>
      </c>
      <c r="H193" t="s">
        <v>315</v>
      </c>
    </row>
    <row r="194" spans="1:8" x14ac:dyDescent="0.2">
      <c r="A194" s="1">
        <v>82</v>
      </c>
      <c r="B194">
        <v>1</v>
      </c>
      <c r="C194">
        <v>23</v>
      </c>
      <c r="D194">
        <v>23</v>
      </c>
      <c r="E194" s="2">
        <v>29283</v>
      </c>
      <c r="F194" t="s">
        <v>39</v>
      </c>
      <c r="G194" t="s">
        <v>23</v>
      </c>
    </row>
    <row r="195" spans="1:8" x14ac:dyDescent="0.2">
      <c r="A195" s="1">
        <v>82</v>
      </c>
      <c r="B195">
        <v>1</v>
      </c>
      <c r="C195">
        <v>6</v>
      </c>
      <c r="D195">
        <v>6</v>
      </c>
      <c r="E195" s="2">
        <v>29284</v>
      </c>
      <c r="F195" t="s">
        <v>39</v>
      </c>
      <c r="G195" t="s">
        <v>23</v>
      </c>
    </row>
    <row r="196" spans="1:8" x14ac:dyDescent="0.2">
      <c r="A196" s="1">
        <v>82</v>
      </c>
      <c r="B196">
        <v>1</v>
      </c>
      <c r="C196" t="s">
        <v>316</v>
      </c>
      <c r="D196">
        <v>9</v>
      </c>
      <c r="E196" s="2">
        <v>29288</v>
      </c>
      <c r="F196" t="s">
        <v>39</v>
      </c>
      <c r="G196" t="s">
        <v>23</v>
      </c>
    </row>
    <row r="197" spans="1:8" x14ac:dyDescent="0.2">
      <c r="A197" s="1">
        <v>82</v>
      </c>
      <c r="B197">
        <v>1</v>
      </c>
      <c r="C197">
        <v>3</v>
      </c>
      <c r="D197">
        <v>3</v>
      </c>
      <c r="E197" s="2">
        <v>29291</v>
      </c>
      <c r="F197" t="s">
        <v>39</v>
      </c>
      <c r="G197" t="s">
        <v>40</v>
      </c>
    </row>
    <row r="198" spans="1:8" x14ac:dyDescent="0.2">
      <c r="A198" s="1">
        <v>82</v>
      </c>
      <c r="B198">
        <v>1</v>
      </c>
      <c r="C198">
        <v>3</v>
      </c>
      <c r="D198">
        <v>3</v>
      </c>
      <c r="E198" s="2">
        <v>29292</v>
      </c>
      <c r="F198" t="s">
        <v>253</v>
      </c>
      <c r="G198" t="s">
        <v>40</v>
      </c>
    </row>
    <row r="199" spans="1:8" x14ac:dyDescent="0.2">
      <c r="A199" s="1">
        <v>82</v>
      </c>
      <c r="B199">
        <v>1</v>
      </c>
      <c r="C199">
        <v>5</v>
      </c>
      <c r="D199">
        <v>5</v>
      </c>
      <c r="E199" s="2">
        <v>29311</v>
      </c>
      <c r="F199" t="s">
        <v>39</v>
      </c>
      <c r="G199" t="s">
        <v>40</v>
      </c>
    </row>
    <row r="200" spans="1:8" x14ac:dyDescent="0.2">
      <c r="A200" s="1">
        <v>82</v>
      </c>
      <c r="B200">
        <v>1</v>
      </c>
      <c r="C200">
        <v>1</v>
      </c>
      <c r="D200">
        <v>1</v>
      </c>
      <c r="E200" s="2">
        <v>29312</v>
      </c>
      <c r="F200" t="s">
        <v>39</v>
      </c>
      <c r="G200" t="s">
        <v>40</v>
      </c>
    </row>
    <row r="201" spans="1:8" x14ac:dyDescent="0.2">
      <c r="A201" s="1">
        <v>82</v>
      </c>
      <c r="B201">
        <v>1</v>
      </c>
      <c r="C201">
        <v>3</v>
      </c>
      <c r="D201">
        <v>3</v>
      </c>
      <c r="E201" s="2">
        <v>29314</v>
      </c>
      <c r="F201" t="s">
        <v>20</v>
      </c>
      <c r="G201" t="s">
        <v>40</v>
      </c>
    </row>
    <row r="202" spans="1:8" x14ac:dyDescent="0.2">
      <c r="A202" s="1">
        <v>82</v>
      </c>
      <c r="B202">
        <v>1</v>
      </c>
      <c r="C202">
        <v>9</v>
      </c>
      <c r="D202">
        <v>9</v>
      </c>
      <c r="E202" s="2">
        <v>29315</v>
      </c>
      <c r="F202" t="s">
        <v>20</v>
      </c>
      <c r="G202" t="s">
        <v>40</v>
      </c>
    </row>
    <row r="203" spans="1:8" x14ac:dyDescent="0.2">
      <c r="A203" s="1">
        <v>82</v>
      </c>
      <c r="B203">
        <v>1</v>
      </c>
      <c r="C203">
        <v>4</v>
      </c>
      <c r="D203">
        <v>4</v>
      </c>
      <c r="E203" s="2">
        <v>29316</v>
      </c>
      <c r="F203" t="s">
        <v>20</v>
      </c>
      <c r="G203" t="s">
        <v>40</v>
      </c>
    </row>
    <row r="204" spans="1:8" x14ac:dyDescent="0.2">
      <c r="A204" s="1">
        <v>82</v>
      </c>
      <c r="B204">
        <v>1</v>
      </c>
      <c r="C204" t="s">
        <v>317</v>
      </c>
      <c r="D204">
        <v>7</v>
      </c>
      <c r="E204" s="2">
        <v>29317</v>
      </c>
      <c r="F204" t="s">
        <v>20</v>
      </c>
      <c r="G204" t="s">
        <v>40</v>
      </c>
    </row>
    <row r="205" spans="1:8" x14ac:dyDescent="0.2">
      <c r="A205" s="1">
        <v>82</v>
      </c>
      <c r="B205">
        <v>1</v>
      </c>
      <c r="C205">
        <v>4</v>
      </c>
      <c r="D205">
        <v>4</v>
      </c>
      <c r="E205" s="2">
        <v>29318</v>
      </c>
      <c r="F205" t="s">
        <v>20</v>
      </c>
      <c r="G205" t="s">
        <v>40</v>
      </c>
    </row>
    <row r="206" spans="1:8" x14ac:dyDescent="0.2">
      <c r="A206" s="1">
        <v>82</v>
      </c>
      <c r="B206">
        <v>1</v>
      </c>
      <c r="C206">
        <v>4</v>
      </c>
      <c r="D206">
        <v>4</v>
      </c>
      <c r="E206" s="2">
        <v>29320</v>
      </c>
      <c r="F206" t="s">
        <v>20</v>
      </c>
      <c r="G206" t="s">
        <v>40</v>
      </c>
    </row>
    <row r="207" spans="1:8" x14ac:dyDescent="0.2">
      <c r="A207" s="1">
        <v>82</v>
      </c>
      <c r="B207">
        <v>1</v>
      </c>
      <c r="C207">
        <v>2</v>
      </c>
      <c r="D207">
        <v>2</v>
      </c>
      <c r="E207" s="2">
        <v>29322</v>
      </c>
      <c r="F207" t="s">
        <v>20</v>
      </c>
      <c r="G207" t="s">
        <v>40</v>
      </c>
    </row>
    <row r="208" spans="1:8" x14ac:dyDescent="0.2">
      <c r="A208" s="1">
        <v>82</v>
      </c>
      <c r="B208">
        <v>1</v>
      </c>
      <c r="C208">
        <v>1</v>
      </c>
      <c r="D208">
        <v>1</v>
      </c>
      <c r="E208" s="2">
        <v>29338</v>
      </c>
      <c r="F208" t="s">
        <v>20</v>
      </c>
      <c r="G208" t="s">
        <v>40</v>
      </c>
    </row>
    <row r="209" spans="1:8" x14ac:dyDescent="0.2">
      <c r="A209" s="1">
        <v>83</v>
      </c>
      <c r="B209">
        <v>1</v>
      </c>
      <c r="C209">
        <v>1</v>
      </c>
      <c r="D209">
        <v>1</v>
      </c>
      <c r="E209" s="2">
        <v>29376</v>
      </c>
      <c r="F209" t="s">
        <v>20</v>
      </c>
      <c r="G209" t="s">
        <v>40</v>
      </c>
    </row>
    <row r="210" spans="1:8" x14ac:dyDescent="0.2">
      <c r="A210" s="1">
        <v>83</v>
      </c>
      <c r="B210">
        <v>1</v>
      </c>
      <c r="C210">
        <v>2</v>
      </c>
      <c r="D210">
        <v>2</v>
      </c>
      <c r="E210" s="2">
        <v>29393</v>
      </c>
      <c r="F210" t="s">
        <v>20</v>
      </c>
      <c r="G210" t="s">
        <v>40</v>
      </c>
    </row>
    <row r="211" spans="1:8" x14ac:dyDescent="0.2">
      <c r="A211" s="1">
        <v>83</v>
      </c>
      <c r="B211">
        <v>1</v>
      </c>
      <c r="C211">
        <v>9</v>
      </c>
      <c r="D211">
        <v>9</v>
      </c>
      <c r="E211" s="2">
        <v>29456</v>
      </c>
      <c r="F211" t="s">
        <v>20</v>
      </c>
      <c r="G211" t="s">
        <v>40</v>
      </c>
    </row>
    <row r="212" spans="1:8" x14ac:dyDescent="0.2">
      <c r="A212" s="1">
        <v>83</v>
      </c>
      <c r="B212" t="s">
        <v>318</v>
      </c>
      <c r="C212">
        <v>62</v>
      </c>
      <c r="E212" s="2">
        <v>29458</v>
      </c>
      <c r="F212" t="s">
        <v>319</v>
      </c>
      <c r="G212" t="s">
        <v>40</v>
      </c>
    </row>
    <row r="213" spans="1:8" x14ac:dyDescent="0.2">
      <c r="A213" s="1">
        <v>83</v>
      </c>
      <c r="B213">
        <v>1</v>
      </c>
      <c r="C213">
        <v>31</v>
      </c>
      <c r="D213">
        <v>31</v>
      </c>
      <c r="E213" s="2">
        <v>29466</v>
      </c>
      <c r="F213" t="s">
        <v>39</v>
      </c>
      <c r="G213" t="s">
        <v>40</v>
      </c>
    </row>
    <row r="214" spans="1:8" x14ac:dyDescent="0.2">
      <c r="A214" s="1">
        <v>83</v>
      </c>
      <c r="B214">
        <v>1</v>
      </c>
      <c r="C214">
        <v>26</v>
      </c>
      <c r="D214">
        <v>27</v>
      </c>
      <c r="E214" s="2">
        <v>29468</v>
      </c>
      <c r="F214" t="s">
        <v>20</v>
      </c>
      <c r="G214" t="s">
        <v>40</v>
      </c>
    </row>
    <row r="215" spans="1:8" x14ac:dyDescent="0.2">
      <c r="A215" s="1">
        <v>83</v>
      </c>
      <c r="B215" t="s">
        <v>45</v>
      </c>
      <c r="C215" t="s">
        <v>45</v>
      </c>
      <c r="D215">
        <v>1</v>
      </c>
      <c r="E215" s="2">
        <v>29473</v>
      </c>
      <c r="F215" t="s">
        <v>36</v>
      </c>
      <c r="G215" t="s">
        <v>40</v>
      </c>
      <c r="H215" t="s">
        <v>320</v>
      </c>
    </row>
    <row r="216" spans="1:8" x14ac:dyDescent="0.2">
      <c r="A216" s="1">
        <v>83</v>
      </c>
      <c r="B216">
        <v>1</v>
      </c>
      <c r="C216">
        <v>3</v>
      </c>
      <c r="D216">
        <v>3</v>
      </c>
      <c r="E216" s="2">
        <v>29474</v>
      </c>
      <c r="F216" t="s">
        <v>20</v>
      </c>
      <c r="G216" t="s">
        <v>40</v>
      </c>
    </row>
    <row r="217" spans="1:8" x14ac:dyDescent="0.2">
      <c r="A217" s="1">
        <v>83</v>
      </c>
      <c r="B217">
        <v>1</v>
      </c>
      <c r="C217">
        <v>11</v>
      </c>
      <c r="D217">
        <v>11</v>
      </c>
      <c r="E217" s="2">
        <v>29477</v>
      </c>
      <c r="F217" t="s">
        <v>20</v>
      </c>
      <c r="G217" t="s">
        <v>40</v>
      </c>
    </row>
    <row r="218" spans="1:8" x14ac:dyDescent="0.2">
      <c r="A218" s="1">
        <v>83</v>
      </c>
      <c r="B218">
        <v>1</v>
      </c>
      <c r="C218">
        <v>9</v>
      </c>
      <c r="D218">
        <v>9</v>
      </c>
      <c r="E218" s="2">
        <v>29493</v>
      </c>
      <c r="F218" s="1" t="s">
        <v>20</v>
      </c>
      <c r="G218" s="1" t="s">
        <v>40</v>
      </c>
    </row>
    <row r="219" spans="1:8" x14ac:dyDescent="0.2">
      <c r="A219" s="1">
        <v>83</v>
      </c>
      <c r="B219">
        <v>1</v>
      </c>
      <c r="C219" t="s">
        <v>321</v>
      </c>
      <c r="D219">
        <v>40</v>
      </c>
      <c r="E219" s="2">
        <v>29494</v>
      </c>
      <c r="F219" s="1" t="s">
        <v>20</v>
      </c>
      <c r="G219" s="1" t="s">
        <v>40</v>
      </c>
    </row>
    <row r="220" spans="1:8" x14ac:dyDescent="0.2">
      <c r="A220" s="1">
        <v>84</v>
      </c>
      <c r="B220">
        <v>1</v>
      </c>
      <c r="C220">
        <v>2</v>
      </c>
      <c r="D220">
        <v>2</v>
      </c>
      <c r="E220" s="5">
        <v>29677</v>
      </c>
      <c r="F220" t="s">
        <v>253</v>
      </c>
      <c r="G220" t="s">
        <v>40</v>
      </c>
    </row>
    <row r="221" spans="1:8" x14ac:dyDescent="0.2">
      <c r="A221" s="1">
        <v>84</v>
      </c>
      <c r="B221">
        <v>1</v>
      </c>
      <c r="C221">
        <v>2</v>
      </c>
      <c r="D221">
        <v>2</v>
      </c>
      <c r="E221" s="5">
        <v>29677</v>
      </c>
      <c r="F221" t="s">
        <v>253</v>
      </c>
      <c r="G221" t="s">
        <v>40</v>
      </c>
    </row>
    <row r="222" spans="1:8" x14ac:dyDescent="0.2">
      <c r="A222" s="1">
        <v>84</v>
      </c>
      <c r="B222">
        <v>1</v>
      </c>
      <c r="C222" t="s">
        <v>322</v>
      </c>
      <c r="D222">
        <v>2</v>
      </c>
      <c r="E222" s="2">
        <v>29696</v>
      </c>
      <c r="F222" t="s">
        <v>39</v>
      </c>
      <c r="G222" t="s">
        <v>323</v>
      </c>
    </row>
    <row r="223" spans="1:8" x14ac:dyDescent="0.2">
      <c r="A223" s="1">
        <v>84</v>
      </c>
      <c r="B223">
        <v>1</v>
      </c>
      <c r="C223">
        <v>2</v>
      </c>
      <c r="D223">
        <v>2</v>
      </c>
      <c r="E223" s="2">
        <v>29691</v>
      </c>
      <c r="F223" t="s">
        <v>20</v>
      </c>
      <c r="G223" t="s">
        <v>40</v>
      </c>
    </row>
    <row r="224" spans="1:8" x14ac:dyDescent="0.2">
      <c r="A224" s="1">
        <v>84</v>
      </c>
      <c r="B224">
        <v>1</v>
      </c>
      <c r="C224">
        <v>1</v>
      </c>
      <c r="D224">
        <v>1</v>
      </c>
      <c r="E224" s="2">
        <v>29571</v>
      </c>
      <c r="F224" t="s">
        <v>20</v>
      </c>
      <c r="G224" t="s">
        <v>40</v>
      </c>
    </row>
    <row r="225" spans="1:8" x14ac:dyDescent="0.2">
      <c r="A225" s="1">
        <v>84</v>
      </c>
      <c r="B225">
        <v>1</v>
      </c>
      <c r="C225">
        <v>2</v>
      </c>
      <c r="D225">
        <v>2</v>
      </c>
      <c r="E225" s="2">
        <v>29587</v>
      </c>
      <c r="F225" t="s">
        <v>20</v>
      </c>
      <c r="G225" t="s">
        <v>40</v>
      </c>
    </row>
    <row r="226" spans="1:8" x14ac:dyDescent="0.2">
      <c r="A226" s="1">
        <v>87</v>
      </c>
      <c r="B226">
        <v>1</v>
      </c>
      <c r="C226">
        <v>36</v>
      </c>
      <c r="D226">
        <v>35</v>
      </c>
      <c r="E226" s="2">
        <v>29555</v>
      </c>
      <c r="F226" t="s">
        <v>20</v>
      </c>
      <c r="G226" t="s">
        <v>324</v>
      </c>
      <c r="H226" t="s">
        <v>325</v>
      </c>
    </row>
    <row r="227" spans="1:8" x14ac:dyDescent="0.2">
      <c r="A227" s="1">
        <v>87</v>
      </c>
      <c r="B227">
        <v>1</v>
      </c>
      <c r="C227" t="s">
        <v>328</v>
      </c>
      <c r="D227">
        <v>31</v>
      </c>
      <c r="E227" s="2">
        <v>29556</v>
      </c>
      <c r="F227" t="s">
        <v>36</v>
      </c>
      <c r="G227" t="s">
        <v>327</v>
      </c>
      <c r="H227" t="s">
        <v>326</v>
      </c>
    </row>
    <row r="228" spans="1:8" x14ac:dyDescent="0.2">
      <c r="A228" s="1">
        <v>87</v>
      </c>
      <c r="B228">
        <v>1</v>
      </c>
      <c r="C228">
        <v>3</v>
      </c>
      <c r="D228">
        <v>3</v>
      </c>
      <c r="E228" s="2">
        <v>29562</v>
      </c>
      <c r="F228" t="s">
        <v>20</v>
      </c>
      <c r="G228" t="s">
        <v>40</v>
      </c>
      <c r="H228" t="s">
        <v>329</v>
      </c>
    </row>
    <row r="229" spans="1:8" x14ac:dyDescent="0.2">
      <c r="A229" s="1">
        <v>87</v>
      </c>
      <c r="B229">
        <v>2</v>
      </c>
      <c r="C229">
        <v>9</v>
      </c>
      <c r="D229">
        <v>8</v>
      </c>
      <c r="E229" s="2">
        <v>29563</v>
      </c>
      <c r="F229" t="s">
        <v>20</v>
      </c>
      <c r="G229" t="s">
        <v>324</v>
      </c>
      <c r="H229" t="s">
        <v>330</v>
      </c>
    </row>
    <row r="230" spans="1:8" x14ac:dyDescent="0.2">
      <c r="A230" s="1">
        <v>87</v>
      </c>
      <c r="B230" t="s">
        <v>45</v>
      </c>
      <c r="C230" t="s">
        <v>45</v>
      </c>
      <c r="D230">
        <v>1</v>
      </c>
      <c r="E230" s="2">
        <v>29542</v>
      </c>
      <c r="F230" t="s">
        <v>20</v>
      </c>
      <c r="G230" t="s">
        <v>273</v>
      </c>
      <c r="H230" t="s">
        <v>331</v>
      </c>
    </row>
    <row r="231" spans="1:8" x14ac:dyDescent="0.2">
      <c r="A231" s="1">
        <v>88</v>
      </c>
      <c r="B231">
        <v>830</v>
      </c>
      <c r="C231" t="s">
        <v>332</v>
      </c>
      <c r="D231">
        <v>7</v>
      </c>
      <c r="E231" s="5">
        <v>29542</v>
      </c>
      <c r="F231" t="s">
        <v>39</v>
      </c>
      <c r="G231" t="s">
        <v>327</v>
      </c>
    </row>
    <row r="232" spans="1:8" x14ac:dyDescent="0.2">
      <c r="A232" s="1">
        <v>88</v>
      </c>
      <c r="B232">
        <v>23</v>
      </c>
      <c r="C232">
        <v>24</v>
      </c>
      <c r="D232">
        <v>2</v>
      </c>
      <c r="E232" s="2">
        <v>29558</v>
      </c>
      <c r="F232" t="s">
        <v>39</v>
      </c>
    </row>
    <row r="233" spans="1:8" x14ac:dyDescent="0.2">
      <c r="A233" s="1">
        <v>88</v>
      </c>
      <c r="B233">
        <v>10</v>
      </c>
      <c r="C233">
        <v>23</v>
      </c>
      <c r="D233">
        <v>12</v>
      </c>
      <c r="E233" s="2">
        <v>29565</v>
      </c>
      <c r="F233" t="s">
        <v>20</v>
      </c>
      <c r="H233" t="s">
        <v>333</v>
      </c>
    </row>
    <row r="234" spans="1:8" x14ac:dyDescent="0.2">
      <c r="A234" s="1">
        <v>88</v>
      </c>
      <c r="B234">
        <v>1</v>
      </c>
      <c r="C234">
        <v>1</v>
      </c>
      <c r="D234">
        <v>1</v>
      </c>
      <c r="E234" t="s">
        <v>334</v>
      </c>
      <c r="F234" t="s">
        <v>20</v>
      </c>
      <c r="G234" t="s">
        <v>23</v>
      </c>
    </row>
    <row r="235" spans="1:8" x14ac:dyDescent="0.2">
      <c r="A235" s="1">
        <v>88</v>
      </c>
      <c r="B235">
        <v>1</v>
      </c>
      <c r="C235">
        <v>4</v>
      </c>
      <c r="D235">
        <v>4</v>
      </c>
      <c r="E235" s="2">
        <v>29563</v>
      </c>
      <c r="F235" t="s">
        <v>20</v>
      </c>
      <c r="G235" t="s">
        <v>23</v>
      </c>
    </row>
    <row r="236" spans="1:8" x14ac:dyDescent="0.2">
      <c r="A236" s="1">
        <v>88</v>
      </c>
      <c r="B236">
        <v>1</v>
      </c>
      <c r="C236">
        <v>5</v>
      </c>
      <c r="D236">
        <v>5</v>
      </c>
      <c r="E236" s="5">
        <v>29556</v>
      </c>
      <c r="F236" t="s">
        <v>253</v>
      </c>
    </row>
    <row r="237" spans="1:8" x14ac:dyDescent="0.2">
      <c r="A237" s="1">
        <v>88</v>
      </c>
      <c r="B237">
        <v>30</v>
      </c>
      <c r="C237" t="s">
        <v>336</v>
      </c>
      <c r="D237">
        <v>2</v>
      </c>
      <c r="E237" s="5">
        <v>29556</v>
      </c>
      <c r="F237" t="s">
        <v>253</v>
      </c>
      <c r="H237" t="s">
        <v>335</v>
      </c>
    </row>
    <row r="238" spans="1:8" x14ac:dyDescent="0.2">
      <c r="A238" s="1">
        <v>88</v>
      </c>
      <c r="B238">
        <v>11</v>
      </c>
      <c r="C238">
        <v>41</v>
      </c>
      <c r="D238">
        <v>30</v>
      </c>
      <c r="E238" s="5">
        <v>29556</v>
      </c>
      <c r="F238" t="s">
        <v>36</v>
      </c>
      <c r="H238" t="s">
        <v>335</v>
      </c>
    </row>
    <row r="239" spans="1:8" x14ac:dyDescent="0.2">
      <c r="A239" s="1">
        <v>88</v>
      </c>
      <c r="B239">
        <v>15</v>
      </c>
      <c r="C239">
        <v>28</v>
      </c>
      <c r="D239">
        <v>14</v>
      </c>
      <c r="E239" s="2">
        <v>29576</v>
      </c>
      <c r="F239" t="s">
        <v>20</v>
      </c>
      <c r="H239" t="s">
        <v>337</v>
      </c>
    </row>
    <row r="240" spans="1:8" x14ac:dyDescent="0.2">
      <c r="A240" s="1">
        <v>88</v>
      </c>
      <c r="B240">
        <v>17</v>
      </c>
      <c r="C240">
        <v>31</v>
      </c>
      <c r="D240">
        <v>14</v>
      </c>
      <c r="E240" s="2">
        <v>29577</v>
      </c>
      <c r="F240" t="s">
        <v>253</v>
      </c>
      <c r="H240" t="s">
        <v>338</v>
      </c>
    </row>
    <row r="241" spans="1:8" x14ac:dyDescent="0.2">
      <c r="A241" s="1">
        <v>88</v>
      </c>
      <c r="B241">
        <v>18</v>
      </c>
      <c r="C241">
        <v>31</v>
      </c>
      <c r="D241">
        <v>11</v>
      </c>
      <c r="E241" s="2">
        <v>29581</v>
      </c>
      <c r="F241" t="s">
        <v>20</v>
      </c>
      <c r="H241" t="s">
        <v>339</v>
      </c>
    </row>
    <row r="242" spans="1:8" x14ac:dyDescent="0.2">
      <c r="A242" s="1">
        <v>89</v>
      </c>
      <c r="B242">
        <v>1</v>
      </c>
      <c r="C242">
        <v>5</v>
      </c>
      <c r="D242">
        <v>5</v>
      </c>
      <c r="E242" s="2">
        <v>29584</v>
      </c>
      <c r="F242" t="s">
        <v>36</v>
      </c>
      <c r="H242" t="s">
        <v>340</v>
      </c>
    </row>
    <row r="243" spans="1:8" x14ac:dyDescent="0.2">
      <c r="A243" s="1">
        <v>89</v>
      </c>
      <c r="B243">
        <v>11</v>
      </c>
      <c r="C243">
        <v>14</v>
      </c>
      <c r="D243">
        <v>4</v>
      </c>
      <c r="E243" s="2">
        <v>29584</v>
      </c>
      <c r="F243" t="s">
        <v>36</v>
      </c>
    </row>
    <row r="244" spans="1:8" x14ac:dyDescent="0.2">
      <c r="A244" s="1">
        <v>89</v>
      </c>
      <c r="B244">
        <v>33</v>
      </c>
      <c r="C244">
        <v>33</v>
      </c>
      <c r="D244">
        <v>1</v>
      </c>
      <c r="E244" s="2">
        <v>29584</v>
      </c>
      <c r="F244" t="s">
        <v>36</v>
      </c>
    </row>
    <row r="245" spans="1:8" x14ac:dyDescent="0.2">
      <c r="A245" s="1">
        <v>89</v>
      </c>
      <c r="B245">
        <v>1</v>
      </c>
      <c r="C245">
        <v>8</v>
      </c>
      <c r="D245">
        <v>8</v>
      </c>
      <c r="E245" s="2">
        <v>29589</v>
      </c>
      <c r="F245" t="s">
        <v>39</v>
      </c>
      <c r="G245" t="s">
        <v>40</v>
      </c>
    </row>
    <row r="246" spans="1:8" x14ac:dyDescent="0.2">
      <c r="A246" s="1">
        <v>89</v>
      </c>
      <c r="B246">
        <v>58</v>
      </c>
      <c r="C246">
        <v>71</v>
      </c>
      <c r="D246">
        <v>13</v>
      </c>
      <c r="E246" s="2">
        <v>29590</v>
      </c>
      <c r="F246" t="s">
        <v>36</v>
      </c>
    </row>
    <row r="247" spans="1:8" x14ac:dyDescent="0.2">
      <c r="A247" s="1">
        <v>89</v>
      </c>
      <c r="B247">
        <v>78</v>
      </c>
      <c r="C247">
        <v>81</v>
      </c>
      <c r="D247">
        <v>4</v>
      </c>
      <c r="E247" s="2">
        <v>29590</v>
      </c>
      <c r="F247" t="s">
        <v>36</v>
      </c>
    </row>
    <row r="248" spans="1:8" x14ac:dyDescent="0.2">
      <c r="A248" s="1">
        <v>89</v>
      </c>
      <c r="B248">
        <v>53</v>
      </c>
      <c r="C248">
        <v>55</v>
      </c>
      <c r="D248">
        <v>3</v>
      </c>
      <c r="E248" s="2">
        <v>29591</v>
      </c>
      <c r="F248" t="s">
        <v>342</v>
      </c>
      <c r="H248" t="s">
        <v>341</v>
      </c>
    </row>
    <row r="249" spans="1:8" x14ac:dyDescent="0.2">
      <c r="A249" s="1">
        <v>89</v>
      </c>
      <c r="B249">
        <v>66</v>
      </c>
      <c r="C249">
        <v>73</v>
      </c>
      <c r="D249">
        <v>8</v>
      </c>
      <c r="E249" s="2">
        <v>29595</v>
      </c>
      <c r="F249" t="s">
        <v>36</v>
      </c>
    </row>
    <row r="250" spans="1:8" x14ac:dyDescent="0.2">
      <c r="A250" s="1">
        <v>89</v>
      </c>
      <c r="B250">
        <v>1</v>
      </c>
      <c r="C250">
        <v>19</v>
      </c>
      <c r="D250">
        <v>19</v>
      </c>
      <c r="E250" s="2">
        <v>29599</v>
      </c>
      <c r="F250" t="s">
        <v>36</v>
      </c>
    </row>
    <row r="251" spans="1:8" x14ac:dyDescent="0.2">
      <c r="A251" s="1">
        <v>89</v>
      </c>
      <c r="B251">
        <v>10</v>
      </c>
      <c r="C251">
        <v>23</v>
      </c>
      <c r="D251">
        <v>14</v>
      </c>
      <c r="E251" s="2">
        <v>29606</v>
      </c>
      <c r="F251" t="s">
        <v>36</v>
      </c>
    </row>
    <row r="252" spans="1:8" x14ac:dyDescent="0.2">
      <c r="A252" s="1">
        <v>89</v>
      </c>
      <c r="B252">
        <v>15</v>
      </c>
      <c r="C252">
        <v>36</v>
      </c>
      <c r="D252">
        <f>36-16</f>
        <v>20</v>
      </c>
      <c r="E252" s="2">
        <v>29623</v>
      </c>
      <c r="F252" t="s">
        <v>343</v>
      </c>
      <c r="H252" t="s">
        <v>344</v>
      </c>
    </row>
    <row r="253" spans="1:8" x14ac:dyDescent="0.2">
      <c r="A253" s="1">
        <v>89</v>
      </c>
      <c r="B253">
        <v>1</v>
      </c>
      <c r="C253">
        <v>2</v>
      </c>
      <c r="D253">
        <v>2</v>
      </c>
      <c r="E253" s="2">
        <v>29627</v>
      </c>
      <c r="F253" t="s">
        <v>36</v>
      </c>
    </row>
    <row r="254" spans="1:8" x14ac:dyDescent="0.2">
      <c r="A254" s="1">
        <v>89</v>
      </c>
      <c r="B254">
        <v>7</v>
      </c>
      <c r="C254">
        <v>11</v>
      </c>
      <c r="D254">
        <v>5</v>
      </c>
      <c r="E254" s="2">
        <v>29628</v>
      </c>
      <c r="F254" t="s">
        <v>36</v>
      </c>
      <c r="H254" t="s">
        <v>345</v>
      </c>
    </row>
    <row r="255" spans="1:8" x14ac:dyDescent="0.2">
      <c r="A255" s="1">
        <v>89</v>
      </c>
      <c r="B255">
        <v>1</v>
      </c>
      <c r="C255">
        <v>41</v>
      </c>
      <c r="D255">
        <v>40</v>
      </c>
      <c r="E255" s="2">
        <v>29631</v>
      </c>
      <c r="F255" t="s">
        <v>36</v>
      </c>
    </row>
    <row r="256" spans="1:8" x14ac:dyDescent="0.2">
      <c r="A256" s="1">
        <v>89</v>
      </c>
      <c r="B256" t="s">
        <v>346</v>
      </c>
      <c r="C256" t="s">
        <v>348</v>
      </c>
      <c r="D256">
        <v>9</v>
      </c>
      <c r="E256" s="5">
        <v>29618</v>
      </c>
      <c r="F256" t="s">
        <v>36</v>
      </c>
      <c r="H256" t="s">
        <v>347</v>
      </c>
    </row>
    <row r="257" spans="1:8" x14ac:dyDescent="0.2">
      <c r="A257" s="1">
        <v>89</v>
      </c>
      <c r="B257" t="s">
        <v>195</v>
      </c>
      <c r="C257" t="s">
        <v>349</v>
      </c>
      <c r="D257">
        <v>25</v>
      </c>
      <c r="E257" s="5">
        <v>29618</v>
      </c>
      <c r="F257" t="s">
        <v>36</v>
      </c>
    </row>
    <row r="258" spans="1:8" x14ac:dyDescent="0.2">
      <c r="A258" s="1">
        <v>89</v>
      </c>
      <c r="B258" t="s">
        <v>197</v>
      </c>
      <c r="C258" t="s">
        <v>350</v>
      </c>
      <c r="D258">
        <v>7</v>
      </c>
      <c r="E258" s="5">
        <v>29646</v>
      </c>
      <c r="F258" t="s">
        <v>36</v>
      </c>
    </row>
    <row r="259" spans="1:8" x14ac:dyDescent="0.2">
      <c r="A259" s="1">
        <v>89</v>
      </c>
      <c r="B259" t="s">
        <v>351</v>
      </c>
      <c r="C259" t="s">
        <v>352</v>
      </c>
      <c r="D259">
        <f>224-191</f>
        <v>33</v>
      </c>
      <c r="E259" s="5">
        <v>29677</v>
      </c>
      <c r="F259" t="s">
        <v>36</v>
      </c>
      <c r="H259" t="s">
        <v>353</v>
      </c>
    </row>
    <row r="260" spans="1:8" x14ac:dyDescent="0.2">
      <c r="A260" s="1">
        <v>89</v>
      </c>
      <c r="B260" t="s">
        <v>354</v>
      </c>
      <c r="C260" t="s">
        <v>355</v>
      </c>
      <c r="D260">
        <f>257-226</f>
        <v>31</v>
      </c>
      <c r="E260" s="5">
        <v>29677</v>
      </c>
      <c r="F260" t="s">
        <v>36</v>
      </c>
      <c r="H260" t="s">
        <v>356</v>
      </c>
    </row>
    <row r="261" spans="1:8" x14ac:dyDescent="0.2">
      <c r="A261" s="1">
        <v>90</v>
      </c>
      <c r="B261">
        <v>1</v>
      </c>
      <c r="C261">
        <v>5</v>
      </c>
      <c r="D261">
        <v>5</v>
      </c>
      <c r="E261" s="2">
        <v>29692</v>
      </c>
      <c r="F261" t="s">
        <v>20</v>
      </c>
      <c r="G261" t="s">
        <v>40</v>
      </c>
      <c r="H261" t="s">
        <v>357</v>
      </c>
    </row>
    <row r="262" spans="1:8" x14ac:dyDescent="0.2">
      <c r="A262" s="1">
        <v>90</v>
      </c>
      <c r="B262">
        <v>2</v>
      </c>
      <c r="C262">
        <v>34</v>
      </c>
      <c r="D262">
        <v>32</v>
      </c>
      <c r="E262" s="2">
        <v>29692</v>
      </c>
      <c r="F262" t="s">
        <v>160</v>
      </c>
      <c r="G262" t="s">
        <v>360</v>
      </c>
      <c r="H262" t="s">
        <v>363</v>
      </c>
    </row>
    <row r="263" spans="1:8" x14ac:dyDescent="0.2">
      <c r="A263" s="1">
        <v>90</v>
      </c>
      <c r="B263" t="s">
        <v>358</v>
      </c>
      <c r="C263" t="s">
        <v>359</v>
      </c>
      <c r="D263">
        <v>8</v>
      </c>
      <c r="E263" s="5">
        <v>29677</v>
      </c>
      <c r="F263" t="s">
        <v>160</v>
      </c>
    </row>
    <row r="264" spans="1:8" x14ac:dyDescent="0.2">
      <c r="A264" s="1">
        <v>90</v>
      </c>
      <c r="B264">
        <v>1</v>
      </c>
      <c r="C264">
        <v>17</v>
      </c>
      <c r="D264">
        <v>17</v>
      </c>
      <c r="E264" s="5">
        <v>29677</v>
      </c>
      <c r="F264" t="s">
        <v>160</v>
      </c>
      <c r="G264" t="s">
        <v>40</v>
      </c>
    </row>
    <row r="265" spans="1:8" x14ac:dyDescent="0.2">
      <c r="A265" s="1">
        <v>90</v>
      </c>
      <c r="B265" t="s">
        <v>361</v>
      </c>
      <c r="C265" t="s">
        <v>364</v>
      </c>
      <c r="D265">
        <v>7</v>
      </c>
      <c r="E265" s="5">
        <v>29677</v>
      </c>
      <c r="F265" t="s">
        <v>160</v>
      </c>
      <c r="H265" t="s">
        <v>362</v>
      </c>
    </row>
    <row r="266" spans="1:8" x14ac:dyDescent="0.2">
      <c r="A266" s="1">
        <v>90</v>
      </c>
      <c r="B266" t="s">
        <v>365</v>
      </c>
      <c r="C266" t="s">
        <v>359</v>
      </c>
      <c r="D266">
        <v>11</v>
      </c>
      <c r="E266" s="5">
        <v>29677</v>
      </c>
      <c r="F266" t="s">
        <v>160</v>
      </c>
      <c r="H266" t="s">
        <v>366</v>
      </c>
    </row>
    <row r="267" spans="1:8" x14ac:dyDescent="0.2">
      <c r="A267" s="1">
        <v>90</v>
      </c>
      <c r="B267" t="s">
        <v>203</v>
      </c>
      <c r="C267" t="s">
        <v>367</v>
      </c>
      <c r="D267">
        <v>19</v>
      </c>
      <c r="E267" s="5">
        <v>29677</v>
      </c>
      <c r="F267" t="s">
        <v>160</v>
      </c>
    </row>
    <row r="268" spans="1:8" x14ac:dyDescent="0.2">
      <c r="A268" s="1">
        <v>90</v>
      </c>
      <c r="B268" t="s">
        <v>368</v>
      </c>
      <c r="C268" t="s">
        <v>370</v>
      </c>
      <c r="D268">
        <v>6</v>
      </c>
      <c r="E268" s="5">
        <v>29677</v>
      </c>
      <c r="F268" t="s">
        <v>160</v>
      </c>
      <c r="H268" t="s">
        <v>369</v>
      </c>
    </row>
    <row r="269" spans="1:8" x14ac:dyDescent="0.2">
      <c r="A269" s="1">
        <v>90</v>
      </c>
      <c r="B269" t="s">
        <v>371</v>
      </c>
      <c r="C269" t="s">
        <v>372</v>
      </c>
      <c r="D269">
        <v>107</v>
      </c>
      <c r="E269" s="5">
        <v>29677</v>
      </c>
      <c r="F269" t="s">
        <v>160</v>
      </c>
      <c r="H269" t="s">
        <v>373</v>
      </c>
    </row>
    <row r="270" spans="1:8" x14ac:dyDescent="0.2">
      <c r="A270" s="1">
        <v>91</v>
      </c>
      <c r="B270" t="s">
        <v>213</v>
      </c>
      <c r="C270" t="s">
        <v>213</v>
      </c>
      <c r="D270">
        <v>1</v>
      </c>
      <c r="E270" s="5">
        <v>29738</v>
      </c>
      <c r="F270" t="s">
        <v>160</v>
      </c>
      <c r="H270" t="s">
        <v>374</v>
      </c>
    </row>
    <row r="271" spans="1:8" x14ac:dyDescent="0.2">
      <c r="B271" t="s">
        <v>375</v>
      </c>
      <c r="C271" t="s">
        <v>377</v>
      </c>
      <c r="D271">
        <v>40</v>
      </c>
      <c r="E271" s="5">
        <v>29738</v>
      </c>
      <c r="F271" t="s">
        <v>160</v>
      </c>
      <c r="H271" t="s">
        <v>376</v>
      </c>
    </row>
    <row r="272" spans="1:8" x14ac:dyDescent="0.2">
      <c r="B272" t="s">
        <v>378</v>
      </c>
      <c r="C272" t="s">
        <v>379</v>
      </c>
      <c r="D272">
        <v>12</v>
      </c>
      <c r="E272" s="5">
        <v>29738</v>
      </c>
      <c r="F272" t="s">
        <v>160</v>
      </c>
    </row>
    <row r="273" spans="2:8" x14ac:dyDescent="0.2">
      <c r="B273" t="s">
        <v>380</v>
      </c>
      <c r="C273" t="s">
        <v>382</v>
      </c>
      <c r="D273">
        <f>192-128-3</f>
        <v>61</v>
      </c>
      <c r="E273" s="5">
        <v>29738</v>
      </c>
      <c r="F273" t="s">
        <v>160</v>
      </c>
      <c r="H273" t="s">
        <v>381</v>
      </c>
    </row>
    <row r="274" spans="2:8" x14ac:dyDescent="0.2">
      <c r="B274" t="s">
        <v>383</v>
      </c>
      <c r="C274" t="s">
        <v>384</v>
      </c>
      <c r="D274">
        <v>14</v>
      </c>
      <c r="E274" s="5">
        <v>29738</v>
      </c>
      <c r="F274" t="s">
        <v>160</v>
      </c>
    </row>
    <row r="275" spans="2:8" x14ac:dyDescent="0.2">
      <c r="B275">
        <v>1</v>
      </c>
      <c r="C275">
        <v>22</v>
      </c>
      <c r="D275">
        <v>22</v>
      </c>
      <c r="E275" s="2">
        <v>29748</v>
      </c>
      <c r="F275" t="s">
        <v>39</v>
      </c>
      <c r="G275" t="s">
        <v>40</v>
      </c>
    </row>
    <row r="276" spans="2:8" x14ac:dyDescent="0.2">
      <c r="B276" t="s">
        <v>385</v>
      </c>
      <c r="C276" t="s">
        <v>386</v>
      </c>
      <c r="D276">
        <v>21</v>
      </c>
      <c r="E276" s="5">
        <v>29738</v>
      </c>
      <c r="F27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92E0-1446-0D42-BDED-43558912642A}">
  <dimension ref="A1:E92"/>
  <sheetViews>
    <sheetView topLeftCell="A10" workbookViewId="0">
      <selection activeCell="A11" sqref="A11"/>
    </sheetView>
  </sheetViews>
  <sheetFormatPr baseColWidth="10" defaultRowHeight="16" x14ac:dyDescent="0.2"/>
  <cols>
    <col min="1" max="2" width="10.83203125" style="8"/>
  </cols>
  <sheetData>
    <row r="1" spans="1:5" x14ac:dyDescent="0.2">
      <c r="A1" s="8" t="s">
        <v>860</v>
      </c>
      <c r="B1" s="8" t="s">
        <v>861</v>
      </c>
      <c r="C1" t="s">
        <v>862</v>
      </c>
      <c r="D1" t="s">
        <v>868</v>
      </c>
    </row>
    <row r="2" spans="1:5" x14ac:dyDescent="0.2">
      <c r="A2" s="8">
        <f>'Folder pagecounts and compariso'!F70</f>
        <v>1</v>
      </c>
      <c r="B2" s="8">
        <f>'Folder pagecounts and compariso'!G70</f>
        <v>2</v>
      </c>
      <c r="C2">
        <f>'Folder pagecounts and compariso'!A70</f>
        <v>51</v>
      </c>
      <c r="D2">
        <v>0</v>
      </c>
      <c r="E2" t="s">
        <v>867</v>
      </c>
    </row>
    <row r="3" spans="1:5" x14ac:dyDescent="0.2">
      <c r="A3" s="8">
        <f>'Folder pagecounts and compariso'!F59</f>
        <v>27061</v>
      </c>
      <c r="B3" s="8">
        <f>'Folder pagecounts and compariso'!G59</f>
        <v>27759</v>
      </c>
      <c r="C3">
        <f>'Folder pagecounts and compariso'!A59</f>
        <v>4</v>
      </c>
      <c r="D3">
        <v>1</v>
      </c>
      <c r="E3" t="s">
        <v>863</v>
      </c>
    </row>
    <row r="4" spans="1:5" x14ac:dyDescent="0.2">
      <c r="A4" s="8">
        <f>'Folder pagecounts and compariso'!F5</f>
        <v>27452</v>
      </c>
      <c r="B4" s="8">
        <f>'Folder pagecounts and compariso'!G5</f>
        <v>28033</v>
      </c>
      <c r="C4">
        <f>'Folder pagecounts and compariso'!A5</f>
        <v>5</v>
      </c>
      <c r="D4">
        <v>2</v>
      </c>
    </row>
    <row r="5" spans="1:5" x14ac:dyDescent="0.2">
      <c r="A5" s="8">
        <f>'Folder pagecounts and compariso'!F92</f>
        <v>27760</v>
      </c>
      <c r="B5" s="8">
        <f>'Folder pagecounts and compariso'!G92</f>
        <v>28490</v>
      </c>
      <c r="C5">
        <f>'Folder pagecounts and compariso'!A92</f>
        <v>86</v>
      </c>
      <c r="D5">
        <v>3</v>
      </c>
      <c r="E5" t="s">
        <v>863</v>
      </c>
    </row>
    <row r="6" spans="1:5" x14ac:dyDescent="0.2">
      <c r="A6" s="8">
        <f>'Folder pagecounts and compariso'!F64</f>
        <v>28065</v>
      </c>
      <c r="B6" s="8">
        <f>'Folder pagecounts and compariso'!G64</f>
        <v>28125</v>
      </c>
      <c r="C6">
        <f>'Folder pagecounts and compariso'!A64</f>
        <v>23</v>
      </c>
      <c r="D6">
        <v>4</v>
      </c>
      <c r="E6" t="s">
        <v>863</v>
      </c>
    </row>
    <row r="7" spans="1:5" x14ac:dyDescent="0.2">
      <c r="A7" s="8">
        <f>'Folder pagecounts and compariso'!F19</f>
        <v>28126</v>
      </c>
      <c r="B7" s="8">
        <f>'Folder pagecounts and compariso'!G19</f>
        <v>28156</v>
      </c>
      <c r="C7">
        <f>'Folder pagecounts and compariso'!A19</f>
        <v>24</v>
      </c>
      <c r="D7">
        <v>5</v>
      </c>
    </row>
    <row r="8" spans="1:5" x14ac:dyDescent="0.2">
      <c r="A8" s="8">
        <f>'Folder pagecounts and compariso'!F20</f>
        <v>28127</v>
      </c>
      <c r="B8" s="8">
        <f>'Folder pagecounts and compariso'!G20</f>
        <v>28184</v>
      </c>
      <c r="C8">
        <f>'Folder pagecounts and compariso'!A20</f>
        <v>25</v>
      </c>
      <c r="D8">
        <v>6</v>
      </c>
    </row>
    <row r="9" spans="1:5" x14ac:dyDescent="0.2">
      <c r="A9" s="8">
        <f>'Folder pagecounts and compariso'!F21</f>
        <v>28157</v>
      </c>
      <c r="B9" s="8">
        <f>'Folder pagecounts and compariso'!G21</f>
        <v>28184</v>
      </c>
      <c r="C9">
        <f>'Folder pagecounts and compariso'!A21</f>
        <v>26</v>
      </c>
      <c r="D9">
        <v>7</v>
      </c>
    </row>
    <row r="10" spans="1:5" x14ac:dyDescent="0.2">
      <c r="A10" s="8">
        <f>'Folder pagecounts and compariso'!F22</f>
        <v>28185</v>
      </c>
      <c r="B10" s="8">
        <f>'Folder pagecounts and compariso'!G22</f>
        <v>28215</v>
      </c>
      <c r="C10">
        <f>'Folder pagecounts and compariso'!A22</f>
        <v>27</v>
      </c>
      <c r="D10">
        <v>8</v>
      </c>
    </row>
    <row r="11" spans="1:5" x14ac:dyDescent="0.2">
      <c r="A11" s="8">
        <f>'Folder pagecounts and compariso'!F29</f>
        <v>28277</v>
      </c>
      <c r="B11" s="8">
        <f>'Folder pagecounts and compariso'!G29</f>
        <v>28306</v>
      </c>
      <c r="C11">
        <f>'Folder pagecounts and compariso'!A29</f>
        <v>34</v>
      </c>
      <c r="D11">
        <v>9</v>
      </c>
    </row>
    <row r="12" spans="1:5" x14ac:dyDescent="0.2">
      <c r="A12" s="8">
        <f>'Folder pagecounts and compariso'!F30</f>
        <v>28307</v>
      </c>
      <c r="B12" s="8">
        <f>'Folder pagecounts and compariso'!G30</f>
        <v>28337</v>
      </c>
      <c r="C12">
        <f>'Folder pagecounts and compariso'!A30</f>
        <v>35</v>
      </c>
      <c r="D12">
        <v>10</v>
      </c>
    </row>
    <row r="13" spans="1:5" x14ac:dyDescent="0.2">
      <c r="A13" s="8">
        <f>'Folder pagecounts and compariso'!F28</f>
        <v>28338</v>
      </c>
      <c r="B13" s="8">
        <f>'Folder pagecounts and compariso'!G28</f>
        <v>28368</v>
      </c>
      <c r="C13">
        <f>'Folder pagecounts and compariso'!A28</f>
        <v>33</v>
      </c>
      <c r="D13">
        <v>11</v>
      </c>
    </row>
    <row r="14" spans="1:5" x14ac:dyDescent="0.2">
      <c r="A14" s="8">
        <f>'Folder pagecounts and compariso'!F31</f>
        <v>28338</v>
      </c>
      <c r="B14" s="8">
        <f>'Folder pagecounts and compariso'!G31</f>
        <v>28369</v>
      </c>
      <c r="C14">
        <f>'Folder pagecounts and compariso'!A31</f>
        <v>36</v>
      </c>
      <c r="D14">
        <v>12</v>
      </c>
    </row>
    <row r="15" spans="1:5" x14ac:dyDescent="0.2">
      <c r="A15" s="8">
        <f>'Folder pagecounts and compariso'!F26</f>
        <v>28399</v>
      </c>
      <c r="B15" s="8">
        <f>'Folder pagecounts and compariso'!G26</f>
        <v>28429</v>
      </c>
      <c r="C15">
        <f>'Folder pagecounts and compariso'!A26</f>
        <v>31</v>
      </c>
      <c r="D15">
        <v>13</v>
      </c>
    </row>
    <row r="16" spans="1:5" x14ac:dyDescent="0.2">
      <c r="A16" s="8">
        <f>'Folder pagecounts and compariso'!F34</f>
        <v>28399</v>
      </c>
      <c r="B16" s="8">
        <f>'Folder pagecounts and compariso'!G34</f>
        <v>28429</v>
      </c>
      <c r="C16">
        <f>'Folder pagecounts and compariso'!A34</f>
        <v>40</v>
      </c>
      <c r="D16">
        <v>14</v>
      </c>
    </row>
    <row r="17" spans="1:5" x14ac:dyDescent="0.2">
      <c r="A17" s="8">
        <f>'Folder pagecounts and compariso'!F27</f>
        <v>28448</v>
      </c>
      <c r="B17" s="8">
        <f>'Folder pagecounts and compariso'!G27</f>
        <v>28448</v>
      </c>
      <c r="C17">
        <f>'Folder pagecounts and compariso'!A27</f>
        <v>32</v>
      </c>
      <c r="D17">
        <v>15</v>
      </c>
    </row>
    <row r="18" spans="1:5" x14ac:dyDescent="0.2">
      <c r="A18" s="8">
        <f>'Folder pagecounts and compariso'!F25</f>
        <v>28491</v>
      </c>
      <c r="B18" s="8">
        <f>'Folder pagecounts and compariso'!G25</f>
        <v>28640</v>
      </c>
      <c r="C18">
        <f>'Folder pagecounts and compariso'!A25</f>
        <v>30</v>
      </c>
      <c r="D18">
        <v>16</v>
      </c>
    </row>
    <row r="19" spans="1:5" x14ac:dyDescent="0.2">
      <c r="A19" s="8">
        <f>'Folder pagecounts and compariso'!F40</f>
        <v>28491</v>
      </c>
      <c r="B19" s="8">
        <f>'Folder pagecounts and compariso'!G40</f>
        <v>28521</v>
      </c>
      <c r="C19">
        <f>'Folder pagecounts and compariso'!A40</f>
        <v>50</v>
      </c>
      <c r="D19">
        <v>17</v>
      </c>
    </row>
    <row r="20" spans="1:5" x14ac:dyDescent="0.2">
      <c r="A20" s="8">
        <f>'Folder pagecounts and compariso'!F46</f>
        <v>28513</v>
      </c>
      <c r="B20" s="8">
        <f>'Folder pagecounts and compariso'!G46</f>
        <v>28513</v>
      </c>
      <c r="C20">
        <f>'Folder pagecounts and compariso'!A46</f>
        <v>58</v>
      </c>
      <c r="D20">
        <v>18</v>
      </c>
    </row>
    <row r="21" spans="1:5" x14ac:dyDescent="0.2">
      <c r="A21" s="8">
        <f>'Folder pagecounts and compariso'!F23</f>
        <v>28522</v>
      </c>
      <c r="B21" s="8">
        <f>'Folder pagecounts and compariso'!G23</f>
        <v>28549</v>
      </c>
      <c r="C21">
        <f>'Folder pagecounts and compariso'!A23</f>
        <v>28</v>
      </c>
      <c r="D21">
        <v>19</v>
      </c>
    </row>
    <row r="22" spans="1:5" x14ac:dyDescent="0.2">
      <c r="A22" s="8">
        <f>'Folder pagecounts and compariso'!F13</f>
        <v>28550</v>
      </c>
      <c r="B22" s="8">
        <f>'Folder pagecounts and compariso'!G13</f>
        <v>28610</v>
      </c>
      <c r="C22">
        <f>'Folder pagecounts and compariso'!A13</f>
        <v>14</v>
      </c>
      <c r="D22">
        <v>20</v>
      </c>
    </row>
    <row r="23" spans="1:5" x14ac:dyDescent="0.2">
      <c r="A23" s="8">
        <f>'Folder pagecounts and compariso'!F24</f>
        <v>28550</v>
      </c>
      <c r="B23" s="8">
        <f>'Folder pagecounts and compariso'!G24</f>
        <v>28579</v>
      </c>
      <c r="C23">
        <f>'Folder pagecounts and compariso'!A24</f>
        <v>29</v>
      </c>
      <c r="D23">
        <v>21</v>
      </c>
    </row>
    <row r="24" spans="1:5" x14ac:dyDescent="0.2">
      <c r="A24" s="8">
        <f>'Folder pagecounts and compariso'!F61</f>
        <v>28581</v>
      </c>
      <c r="B24" s="8">
        <f>'Folder pagecounts and compariso'!G61</f>
        <v>28671</v>
      </c>
      <c r="C24">
        <f>'Folder pagecounts and compariso'!A61</f>
        <v>17</v>
      </c>
      <c r="D24">
        <v>22</v>
      </c>
      <c r="E24" t="s">
        <v>863</v>
      </c>
    </row>
    <row r="25" spans="1:5" x14ac:dyDescent="0.2">
      <c r="A25" s="8">
        <f>'Folder pagecounts and compariso'!F71</f>
        <v>28581</v>
      </c>
      <c r="B25" s="8">
        <f>'Folder pagecounts and compariso'!G71</f>
        <v>28610</v>
      </c>
      <c r="C25">
        <f>'Folder pagecounts and compariso'!A71</f>
        <v>52</v>
      </c>
      <c r="D25">
        <v>23</v>
      </c>
      <c r="E25" t="s">
        <v>863</v>
      </c>
    </row>
    <row r="26" spans="1:5" x14ac:dyDescent="0.2">
      <c r="A26" s="8">
        <f>'Folder pagecounts and compariso'!F14</f>
        <v>28611</v>
      </c>
      <c r="B26" s="8">
        <f>'Folder pagecounts and compariso'!G14</f>
        <v>28641</v>
      </c>
      <c r="C26">
        <f>'Folder pagecounts and compariso'!A14</f>
        <v>15</v>
      </c>
      <c r="D26">
        <v>24</v>
      </c>
    </row>
    <row r="27" spans="1:5" x14ac:dyDescent="0.2">
      <c r="A27" s="8">
        <f>'Folder pagecounts and compariso'!F15</f>
        <v>28642</v>
      </c>
      <c r="B27" s="8">
        <f>'Folder pagecounts and compariso'!G15</f>
        <v>28701</v>
      </c>
      <c r="C27">
        <f>'Folder pagecounts and compariso'!A15</f>
        <v>16</v>
      </c>
      <c r="D27">
        <v>25</v>
      </c>
    </row>
    <row r="28" spans="1:5" x14ac:dyDescent="0.2">
      <c r="A28" s="8">
        <f>'Folder pagecounts and compariso'!F32</f>
        <v>28703</v>
      </c>
      <c r="B28" s="8">
        <f>'Folder pagecounts and compariso'!G32</f>
        <v>28733</v>
      </c>
      <c r="C28">
        <f>'Folder pagecounts and compariso'!A32</f>
        <v>38</v>
      </c>
      <c r="D28">
        <v>26</v>
      </c>
    </row>
    <row r="29" spans="1:5" x14ac:dyDescent="0.2">
      <c r="A29" s="8">
        <f>'Folder pagecounts and compariso'!F62</f>
        <v>28703</v>
      </c>
      <c r="B29" s="8">
        <f>'Folder pagecounts and compariso'!G62</f>
        <v>28733</v>
      </c>
      <c r="C29">
        <f>'Folder pagecounts and compariso'!A62</f>
        <v>18</v>
      </c>
      <c r="D29">
        <v>27</v>
      </c>
      <c r="E29" t="s">
        <v>863</v>
      </c>
    </row>
    <row r="30" spans="1:5" x14ac:dyDescent="0.2">
      <c r="A30" s="8">
        <f>'Folder pagecounts and compariso'!F3</f>
        <v>28734</v>
      </c>
      <c r="B30" s="8">
        <f>'Folder pagecounts and compariso'!G3</f>
        <v>28763</v>
      </c>
      <c r="C30">
        <f>'Folder pagecounts and compariso'!A3</f>
        <v>2</v>
      </c>
      <c r="D30">
        <v>28</v>
      </c>
    </row>
    <row r="31" spans="1:5" x14ac:dyDescent="0.2">
      <c r="A31" s="8">
        <f>'Folder pagecounts and compariso'!F4</f>
        <v>28734</v>
      </c>
      <c r="B31" s="8">
        <f>'Folder pagecounts and compariso'!G4</f>
        <v>28763</v>
      </c>
      <c r="C31">
        <f>'Folder pagecounts and compariso'!A4</f>
        <v>3</v>
      </c>
      <c r="D31">
        <v>29</v>
      </c>
    </row>
    <row r="32" spans="1:5" x14ac:dyDescent="0.2">
      <c r="A32" s="8">
        <f>'Folder pagecounts and compariso'!F63</f>
        <v>28734</v>
      </c>
      <c r="B32" s="8">
        <f>'Folder pagecounts and compariso'!G63</f>
        <v>28794</v>
      </c>
      <c r="C32">
        <f>'Folder pagecounts and compariso'!A63</f>
        <v>19</v>
      </c>
      <c r="D32">
        <v>30</v>
      </c>
      <c r="E32" t="s">
        <v>863</v>
      </c>
    </row>
    <row r="33" spans="1:5" x14ac:dyDescent="0.2">
      <c r="A33" s="8">
        <f>'Folder pagecounts and compariso'!F18</f>
        <v>28764</v>
      </c>
      <c r="B33" s="8">
        <f>'Folder pagecounts and compariso'!G18</f>
        <v>28824</v>
      </c>
      <c r="C33">
        <f>'Folder pagecounts and compariso'!A18</f>
        <v>22</v>
      </c>
      <c r="D33">
        <v>31</v>
      </c>
    </row>
    <row r="34" spans="1:5" x14ac:dyDescent="0.2">
      <c r="A34" s="8" t="str">
        <f>'Folder pagecounts and compariso'!F16</f>
        <v>1978-10</v>
      </c>
      <c r="B34" s="8" t="str">
        <f>'Folder pagecounts and compariso'!G16</f>
        <v>1978-10</v>
      </c>
      <c r="C34">
        <f>'Folder pagecounts and compariso'!A16</f>
        <v>20</v>
      </c>
      <c r="D34">
        <v>32</v>
      </c>
    </row>
    <row r="35" spans="1:5" x14ac:dyDescent="0.2">
      <c r="A35" s="8" t="str">
        <f>'Folder pagecounts and compariso'!F17</f>
        <v>10-18-19771</v>
      </c>
      <c r="B35" s="8" t="str">
        <f>'Folder pagecounts and compariso'!G17</f>
        <v>10-18-19771</v>
      </c>
      <c r="C35">
        <f>'Folder pagecounts and compariso'!A17</f>
        <v>21</v>
      </c>
      <c r="D35">
        <v>33</v>
      </c>
    </row>
    <row r="36" spans="1:5" x14ac:dyDescent="0.2">
      <c r="A36" s="8">
        <f>'Folder pagecounts and compariso'!F8</f>
        <v>28825</v>
      </c>
      <c r="B36" s="8">
        <f>'Folder pagecounts and compariso'!G8</f>
        <v>28855</v>
      </c>
      <c r="C36">
        <f>'Folder pagecounts and compariso'!A8</f>
        <v>9</v>
      </c>
      <c r="D36">
        <v>34</v>
      </c>
    </row>
    <row r="37" spans="1:5" x14ac:dyDescent="0.2">
      <c r="A37" s="8">
        <f>'Folder pagecounts and compariso'!F10</f>
        <v>28825</v>
      </c>
      <c r="B37" s="8">
        <f>'Folder pagecounts and compariso'!G10</f>
        <v>28855</v>
      </c>
      <c r="C37">
        <f>'Folder pagecounts and compariso'!A10</f>
        <v>11</v>
      </c>
      <c r="D37">
        <v>35</v>
      </c>
    </row>
    <row r="38" spans="1:5" x14ac:dyDescent="0.2">
      <c r="A38" s="8">
        <f>'Folder pagecounts and compariso'!F6</f>
        <v>28856</v>
      </c>
      <c r="B38" s="8">
        <f>'Folder pagecounts and compariso'!G6</f>
        <v>28886</v>
      </c>
      <c r="C38">
        <f>'Folder pagecounts and compariso'!A6</f>
        <v>6</v>
      </c>
      <c r="D38">
        <v>36</v>
      </c>
    </row>
    <row r="39" spans="1:5" x14ac:dyDescent="0.2">
      <c r="A39" s="8">
        <f>'Folder pagecounts and compariso'!F7</f>
        <v>28856</v>
      </c>
      <c r="B39" s="8">
        <f>'Folder pagecounts and compariso'!G7</f>
        <v>28886</v>
      </c>
      <c r="C39">
        <f>'Folder pagecounts and compariso'!A7</f>
        <v>8</v>
      </c>
      <c r="D39">
        <v>37</v>
      </c>
    </row>
    <row r="40" spans="1:5" x14ac:dyDescent="0.2">
      <c r="A40" s="8" t="str">
        <f>'Folder pagecounts and compariso'!F12</f>
        <v>1979-01</v>
      </c>
      <c r="B40" s="8" t="str">
        <f>'Folder pagecounts and compariso'!G12</f>
        <v>1979-04</v>
      </c>
      <c r="C40">
        <f>'Folder pagecounts and compariso'!A12</f>
        <v>13</v>
      </c>
      <c r="D40">
        <v>38</v>
      </c>
    </row>
    <row r="41" spans="1:5" x14ac:dyDescent="0.2">
      <c r="A41" s="8">
        <f>'Folder pagecounts and compariso'!F9</f>
        <v>28887</v>
      </c>
      <c r="B41" s="8">
        <f>'Folder pagecounts and compariso'!G9</f>
        <v>28914</v>
      </c>
      <c r="C41">
        <f>'Folder pagecounts and compariso'!A9</f>
        <v>10</v>
      </c>
      <c r="D41">
        <v>39</v>
      </c>
    </row>
    <row r="42" spans="1:5" x14ac:dyDescent="0.2">
      <c r="A42" s="8">
        <f>'Folder pagecounts and compariso'!F33</f>
        <v>28915</v>
      </c>
      <c r="B42" s="8">
        <f>'Folder pagecounts and compariso'!G33</f>
        <v>28945</v>
      </c>
      <c r="C42">
        <f>'Folder pagecounts and compariso'!A33</f>
        <v>39</v>
      </c>
      <c r="D42">
        <v>40</v>
      </c>
    </row>
    <row r="43" spans="1:5" x14ac:dyDescent="0.2">
      <c r="A43" s="8">
        <f>'Folder pagecounts and compariso'!F66</f>
        <v>28856</v>
      </c>
      <c r="B43" s="8">
        <f>'Folder pagecounts and compariso'!G66</f>
        <v>29220</v>
      </c>
      <c r="C43">
        <f>'Folder pagecounts and compariso'!A66</f>
        <v>41</v>
      </c>
      <c r="D43">
        <v>41</v>
      </c>
      <c r="E43" t="s">
        <v>863</v>
      </c>
    </row>
    <row r="44" spans="1:5" x14ac:dyDescent="0.2">
      <c r="A44" s="8">
        <f>'Folder pagecounts and compariso'!F67</f>
        <v>28856</v>
      </c>
      <c r="B44" s="8">
        <f>'Folder pagecounts and compariso'!G67</f>
        <v>29220</v>
      </c>
      <c r="C44">
        <f>'Folder pagecounts and compariso'!A67</f>
        <v>42</v>
      </c>
      <c r="D44">
        <v>42</v>
      </c>
      <c r="E44" t="s">
        <v>863</v>
      </c>
    </row>
    <row r="45" spans="1:5" x14ac:dyDescent="0.2">
      <c r="A45" s="8">
        <f>'Folder pagecounts and compariso'!F68</f>
        <v>28856</v>
      </c>
      <c r="B45" s="8">
        <f>'Folder pagecounts and compariso'!G68</f>
        <v>29220</v>
      </c>
      <c r="C45">
        <f>'Folder pagecounts and compariso'!A68</f>
        <v>43</v>
      </c>
      <c r="D45">
        <v>43</v>
      </c>
      <c r="E45" t="s">
        <v>863</v>
      </c>
    </row>
    <row r="46" spans="1:5" x14ac:dyDescent="0.2">
      <c r="A46" s="8">
        <f>'Folder pagecounts and compariso'!F35</f>
        <v>28856</v>
      </c>
      <c r="B46" s="8">
        <f>'Folder pagecounts and compariso'!G35</f>
        <v>29220</v>
      </c>
      <c r="C46">
        <f>'Folder pagecounts and compariso'!A35</f>
        <v>44</v>
      </c>
      <c r="D46">
        <v>44</v>
      </c>
    </row>
    <row r="47" spans="1:5" x14ac:dyDescent="0.2">
      <c r="A47" s="8">
        <f>'Folder pagecounts and compariso'!F36</f>
        <v>28856</v>
      </c>
      <c r="B47" s="8">
        <f>'Folder pagecounts and compariso'!G36</f>
        <v>29220</v>
      </c>
      <c r="C47">
        <f>'Folder pagecounts and compariso'!A36</f>
        <v>45</v>
      </c>
      <c r="D47">
        <v>45</v>
      </c>
    </row>
    <row r="48" spans="1:5" x14ac:dyDescent="0.2">
      <c r="A48" s="8">
        <f>'Folder pagecounts and compariso'!F37</f>
        <v>28856</v>
      </c>
      <c r="B48" s="8">
        <f>'Folder pagecounts and compariso'!G37</f>
        <v>29220</v>
      </c>
      <c r="C48">
        <f>'Folder pagecounts and compariso'!A37</f>
        <v>46</v>
      </c>
      <c r="D48">
        <v>46</v>
      </c>
    </row>
    <row r="49" spans="1:5" x14ac:dyDescent="0.2">
      <c r="A49" s="8">
        <f>'Folder pagecounts and compariso'!F69</f>
        <v>29129</v>
      </c>
      <c r="B49" s="8">
        <f>'Folder pagecounts and compariso'!G69</f>
        <v>29189</v>
      </c>
      <c r="C49">
        <f>'Folder pagecounts and compariso'!A69</f>
        <v>47</v>
      </c>
      <c r="D49">
        <v>47</v>
      </c>
      <c r="E49" t="s">
        <v>863</v>
      </c>
    </row>
    <row r="50" spans="1:5" x14ac:dyDescent="0.2">
      <c r="A50" s="8">
        <f>'Folder pagecounts and compariso'!F38</f>
        <v>28856</v>
      </c>
      <c r="B50" s="8">
        <f>'Folder pagecounts and compariso'!G38</f>
        <v>29220</v>
      </c>
      <c r="C50">
        <f>'Folder pagecounts and compariso'!A38</f>
        <v>48</v>
      </c>
      <c r="D50">
        <v>48</v>
      </c>
    </row>
    <row r="51" spans="1:5" x14ac:dyDescent="0.2">
      <c r="A51" s="8">
        <f>'Folder pagecounts and compariso'!F39</f>
        <v>29221</v>
      </c>
      <c r="B51" s="8">
        <f>'Folder pagecounts and compariso'!G39</f>
        <v>29251</v>
      </c>
      <c r="C51">
        <f>'Folder pagecounts and compariso'!A39</f>
        <v>49</v>
      </c>
      <c r="D51">
        <v>49</v>
      </c>
    </row>
    <row r="52" spans="1:5" x14ac:dyDescent="0.2">
      <c r="A52" s="8">
        <f>'Folder pagecounts and compariso'!F51</f>
        <v>29250</v>
      </c>
      <c r="B52" s="8">
        <f>'Folder pagecounts and compariso'!G51</f>
        <v>29338</v>
      </c>
      <c r="C52">
        <f>'Folder pagecounts and compariso'!A51</f>
        <v>82</v>
      </c>
      <c r="D52">
        <v>50</v>
      </c>
    </row>
    <row r="53" spans="1:5" x14ac:dyDescent="0.2">
      <c r="A53" s="8">
        <f>'Folder pagecounts and compariso'!F52</f>
        <v>29376</v>
      </c>
      <c r="B53" s="8">
        <f>'Folder pagecounts and compariso'!G52</f>
        <v>29494</v>
      </c>
      <c r="C53">
        <f>'Folder pagecounts and compariso'!A52</f>
        <v>83</v>
      </c>
      <c r="D53">
        <v>51</v>
      </c>
    </row>
    <row r="54" spans="1:5" x14ac:dyDescent="0.2">
      <c r="A54" s="8">
        <f>'Folder pagecounts and compariso'!F2</f>
        <v>29512</v>
      </c>
      <c r="B54" s="8">
        <f>'Folder pagecounts and compariso'!G2</f>
        <v>29593</v>
      </c>
      <c r="C54">
        <f>'Folder pagecounts and compariso'!A2</f>
        <v>1</v>
      </c>
      <c r="D54">
        <v>52</v>
      </c>
    </row>
    <row r="55" spans="1:5" x14ac:dyDescent="0.2">
      <c r="A55" s="8">
        <f>'Folder pagecounts and compariso'!F55</f>
        <v>29526</v>
      </c>
      <c r="B55" s="8">
        <f>'Folder pagecounts and compariso'!G55</f>
        <v>29581</v>
      </c>
      <c r="C55">
        <f>'Folder pagecounts and compariso'!A55</f>
        <v>88</v>
      </c>
      <c r="D55">
        <v>53</v>
      </c>
    </row>
    <row r="56" spans="1:5" x14ac:dyDescent="0.2">
      <c r="A56" s="8">
        <f>'Folder pagecounts and compariso'!F54</f>
        <v>29542</v>
      </c>
      <c r="B56" s="8">
        <f>'Folder pagecounts and compariso'!G54</f>
        <v>29563</v>
      </c>
      <c r="C56">
        <f>'Folder pagecounts and compariso'!A54</f>
        <v>87</v>
      </c>
      <c r="D56">
        <v>54</v>
      </c>
    </row>
    <row r="57" spans="1:5" x14ac:dyDescent="0.2">
      <c r="A57" s="8">
        <f>'Folder pagecounts and compariso'!F84</f>
        <v>29556</v>
      </c>
      <c r="B57" s="8">
        <f>'Folder pagecounts and compariso'!G84</f>
        <v>29588</v>
      </c>
      <c r="C57">
        <f>'Folder pagecounts and compariso'!A84</f>
        <v>74</v>
      </c>
      <c r="D57">
        <v>55</v>
      </c>
      <c r="E57" t="s">
        <v>863</v>
      </c>
    </row>
    <row r="58" spans="1:5" x14ac:dyDescent="0.2">
      <c r="A58" s="8">
        <f>'Folder pagecounts and compariso'!F91</f>
        <v>29556</v>
      </c>
      <c r="B58" s="8">
        <f>'Folder pagecounts and compariso'!G91</f>
        <v>29586</v>
      </c>
      <c r="C58">
        <f>'Folder pagecounts and compariso'!A91</f>
        <v>85</v>
      </c>
      <c r="D58">
        <v>56</v>
      </c>
      <c r="E58" t="s">
        <v>863</v>
      </c>
    </row>
    <row r="59" spans="1:5" x14ac:dyDescent="0.2">
      <c r="A59" s="8">
        <f>'Folder pagecounts and compariso'!F56</f>
        <v>29584</v>
      </c>
      <c r="B59" s="8">
        <f>'Folder pagecounts and compariso'!G56</f>
        <v>29706</v>
      </c>
      <c r="C59">
        <f>'Folder pagecounts and compariso'!A56</f>
        <v>89</v>
      </c>
      <c r="D59">
        <v>57</v>
      </c>
    </row>
    <row r="60" spans="1:5" x14ac:dyDescent="0.2">
      <c r="A60" s="8">
        <f>'Folder pagecounts and compariso'!F72</f>
        <v>29587</v>
      </c>
      <c r="B60" s="8">
        <f>'Folder pagecounts and compariso'!G72</f>
        <v>29706</v>
      </c>
      <c r="C60">
        <f>'Folder pagecounts and compariso'!A72</f>
        <v>59</v>
      </c>
      <c r="D60">
        <v>58</v>
      </c>
      <c r="E60" t="s">
        <v>863</v>
      </c>
    </row>
    <row r="61" spans="1:5" x14ac:dyDescent="0.2">
      <c r="A61" s="8">
        <f>'Folder pagecounts and compariso'!F73</f>
        <v>29588</v>
      </c>
      <c r="B61" s="8">
        <f>'Folder pagecounts and compariso'!G73</f>
        <v>29706</v>
      </c>
      <c r="C61">
        <f>'Folder pagecounts and compariso'!A73</f>
        <v>60</v>
      </c>
      <c r="D61">
        <v>59</v>
      </c>
      <c r="E61" t="s">
        <v>863</v>
      </c>
    </row>
    <row r="62" spans="1:5" x14ac:dyDescent="0.2">
      <c r="A62" s="8">
        <f>'Folder pagecounts and compariso'!F85</f>
        <v>29589</v>
      </c>
      <c r="B62" s="8">
        <f>'Folder pagecounts and compariso'!G85</f>
        <v>29706</v>
      </c>
      <c r="C62">
        <f>'Folder pagecounts and compariso'!A85</f>
        <v>75</v>
      </c>
      <c r="D62">
        <v>60</v>
      </c>
      <c r="E62" t="s">
        <v>863</v>
      </c>
    </row>
    <row r="63" spans="1:5" x14ac:dyDescent="0.2">
      <c r="A63" s="8">
        <f>'Folder pagecounts and compariso'!F86</f>
        <v>29590</v>
      </c>
      <c r="B63" s="8">
        <f>'Folder pagecounts and compariso'!G86</f>
        <v>29706</v>
      </c>
      <c r="C63">
        <f>'Folder pagecounts and compariso'!A86</f>
        <v>76</v>
      </c>
      <c r="D63">
        <v>61</v>
      </c>
      <c r="E63" t="s">
        <v>863</v>
      </c>
    </row>
    <row r="64" spans="1:5" x14ac:dyDescent="0.2">
      <c r="A64" s="8">
        <f>'Folder pagecounts and compariso'!F87</f>
        <v>29592</v>
      </c>
      <c r="B64" s="8">
        <f>'Folder pagecounts and compariso'!G87</f>
        <v>29706</v>
      </c>
      <c r="C64">
        <f>'Folder pagecounts and compariso'!A87</f>
        <v>77</v>
      </c>
      <c r="D64">
        <v>62</v>
      </c>
      <c r="E64" t="s">
        <v>863</v>
      </c>
    </row>
    <row r="65" spans="1:5" x14ac:dyDescent="0.2">
      <c r="A65" s="8">
        <f>'Folder pagecounts and compariso'!F53</f>
        <v>29677</v>
      </c>
      <c r="B65" s="8">
        <f>'Folder pagecounts and compariso'!G53</f>
        <v>29696</v>
      </c>
      <c r="C65">
        <f>'Folder pagecounts and compariso'!A53</f>
        <v>84</v>
      </c>
      <c r="D65">
        <v>63</v>
      </c>
      <c r="E65" t="s">
        <v>865</v>
      </c>
    </row>
    <row r="66" spans="1:5" x14ac:dyDescent="0.2">
      <c r="A66" s="8">
        <f>'Folder pagecounts and compariso'!F75</f>
        <v>29677</v>
      </c>
      <c r="B66" s="8">
        <f>'Folder pagecounts and compariso'!G75</f>
        <v>29706</v>
      </c>
      <c r="C66">
        <f>'Folder pagecounts and compariso'!A75</f>
        <v>65</v>
      </c>
      <c r="D66">
        <v>64</v>
      </c>
      <c r="E66" t="s">
        <v>863</v>
      </c>
    </row>
    <row r="67" spans="1:5" x14ac:dyDescent="0.2">
      <c r="A67" s="8">
        <f>'Folder pagecounts and compariso'!F76</f>
        <v>29678</v>
      </c>
      <c r="B67" s="8">
        <f>'Folder pagecounts and compariso'!G76</f>
        <v>29736</v>
      </c>
      <c r="C67">
        <f>'Folder pagecounts and compariso'!A76</f>
        <v>66</v>
      </c>
      <c r="D67">
        <v>65</v>
      </c>
      <c r="E67" t="s">
        <v>863</v>
      </c>
    </row>
    <row r="68" spans="1:5" x14ac:dyDescent="0.2">
      <c r="A68" s="8">
        <f>'Folder pagecounts and compariso'!F57</f>
        <v>29692</v>
      </c>
      <c r="B68" s="8">
        <f>'Folder pagecounts and compariso'!G57</f>
        <v>29706</v>
      </c>
      <c r="C68">
        <f>'Folder pagecounts and compariso'!A57</f>
        <v>90</v>
      </c>
      <c r="D68">
        <v>66</v>
      </c>
    </row>
    <row r="69" spans="1:5" x14ac:dyDescent="0.2">
      <c r="A69" s="8">
        <f>'Folder pagecounts and compariso'!F88</f>
        <v>29707</v>
      </c>
      <c r="B69" s="8">
        <f>'Folder pagecounts and compariso'!G88</f>
        <v>29736</v>
      </c>
      <c r="C69">
        <f>'Folder pagecounts and compariso'!A88</f>
        <v>78</v>
      </c>
      <c r="D69">
        <v>67</v>
      </c>
      <c r="E69" t="s">
        <v>863</v>
      </c>
    </row>
    <row r="70" spans="1:5" x14ac:dyDescent="0.2">
      <c r="A70" s="8">
        <f>'Folder pagecounts and compariso'!F89</f>
        <v>29707</v>
      </c>
      <c r="B70" s="8">
        <f>'Folder pagecounts and compariso'!G89</f>
        <v>29736</v>
      </c>
      <c r="C70">
        <f>'Folder pagecounts and compariso'!A89</f>
        <v>79</v>
      </c>
      <c r="D70">
        <v>68</v>
      </c>
      <c r="E70" t="s">
        <v>863</v>
      </c>
    </row>
    <row r="71" spans="1:5" x14ac:dyDescent="0.2">
      <c r="A71" s="8">
        <f>'Folder pagecounts and compariso'!F50</f>
        <v>29738</v>
      </c>
      <c r="B71" s="8">
        <f>'Folder pagecounts and compariso'!G50</f>
        <v>29767</v>
      </c>
      <c r="C71">
        <f>'Folder pagecounts and compariso'!A50</f>
        <v>81</v>
      </c>
      <c r="D71">
        <v>69</v>
      </c>
    </row>
    <row r="72" spans="1:5" x14ac:dyDescent="0.2">
      <c r="A72" s="8">
        <f>'Folder pagecounts and compariso'!F58</f>
        <v>29738</v>
      </c>
      <c r="B72" s="8">
        <f>'Folder pagecounts and compariso'!G58</f>
        <v>29767</v>
      </c>
      <c r="C72">
        <f>'Folder pagecounts and compariso'!A58</f>
        <v>91</v>
      </c>
      <c r="D72">
        <v>70</v>
      </c>
    </row>
    <row r="73" spans="1:5" x14ac:dyDescent="0.2">
      <c r="A73" s="8">
        <f>'Folder pagecounts and compariso'!F81</f>
        <v>29738</v>
      </c>
      <c r="B73" s="8">
        <f>'Folder pagecounts and compariso'!G81</f>
        <v>29767</v>
      </c>
      <c r="C73">
        <f>'Folder pagecounts and compariso'!A81</f>
        <v>71</v>
      </c>
      <c r="D73">
        <v>71</v>
      </c>
      <c r="E73" t="s">
        <v>863</v>
      </c>
    </row>
    <row r="74" spans="1:5" x14ac:dyDescent="0.2">
      <c r="A74" s="8">
        <f>'Folder pagecounts and compariso'!F90</f>
        <v>29738</v>
      </c>
      <c r="B74" s="8">
        <f>'Folder pagecounts and compariso'!G90</f>
        <v>29767</v>
      </c>
      <c r="C74">
        <f>'Folder pagecounts and compariso'!A90</f>
        <v>80</v>
      </c>
      <c r="D74">
        <v>72</v>
      </c>
      <c r="E74" t="s">
        <v>863</v>
      </c>
    </row>
    <row r="75" spans="1:5" x14ac:dyDescent="0.2">
      <c r="A75" s="8">
        <f>'Folder pagecounts and compariso'!F82</f>
        <v>29739</v>
      </c>
      <c r="B75" s="8">
        <f>'Folder pagecounts and compariso'!G82</f>
        <v>29797</v>
      </c>
      <c r="C75">
        <f>'Folder pagecounts and compariso'!A82</f>
        <v>72</v>
      </c>
      <c r="D75">
        <v>73</v>
      </c>
      <c r="E75" t="s">
        <v>863</v>
      </c>
    </row>
    <row r="76" spans="1:5" x14ac:dyDescent="0.2">
      <c r="A76" s="8">
        <f>'Folder pagecounts and compariso'!F83</f>
        <v>29740</v>
      </c>
      <c r="B76" s="8">
        <f>'Folder pagecounts and compariso'!G83</f>
        <v>29951</v>
      </c>
      <c r="C76">
        <f>'Folder pagecounts and compariso'!A83</f>
        <v>73</v>
      </c>
      <c r="D76">
        <v>74</v>
      </c>
      <c r="E76" t="s">
        <v>863</v>
      </c>
    </row>
    <row r="77" spans="1:5" x14ac:dyDescent="0.2">
      <c r="A77" s="8">
        <f>'Folder pagecounts and compariso'!F74</f>
        <v>29799</v>
      </c>
      <c r="B77" s="8">
        <f>'Folder pagecounts and compariso'!G74</f>
        <v>29951</v>
      </c>
      <c r="C77">
        <f>'Folder pagecounts and compariso'!A74</f>
        <v>61</v>
      </c>
      <c r="D77">
        <v>75</v>
      </c>
      <c r="E77" t="s">
        <v>863</v>
      </c>
    </row>
    <row r="78" spans="1:5" x14ac:dyDescent="0.2">
      <c r="A78" s="8">
        <f>'Folder pagecounts and compariso'!F44</f>
        <v>29816</v>
      </c>
      <c r="B78" s="8">
        <f>'Folder pagecounts and compariso'!G44</f>
        <v>30000</v>
      </c>
      <c r="C78">
        <f>'Folder pagecounts and compariso'!A44</f>
        <v>56</v>
      </c>
      <c r="D78">
        <v>76</v>
      </c>
      <c r="E78" t="s">
        <v>869</v>
      </c>
    </row>
    <row r="79" spans="1:5" x14ac:dyDescent="0.2">
      <c r="A79" s="8">
        <f>'Folder pagecounts and compariso'!F47</f>
        <v>29830</v>
      </c>
      <c r="B79" s="8">
        <f>'Folder pagecounts and compariso'!G47</f>
        <v>29859</v>
      </c>
      <c r="C79">
        <f>'Folder pagecounts and compariso'!A47</f>
        <v>62</v>
      </c>
      <c r="D79">
        <v>77</v>
      </c>
    </row>
    <row r="80" spans="1:5" x14ac:dyDescent="0.2">
      <c r="A80" s="8">
        <f>'Folder pagecounts and compariso'!F43</f>
        <v>29921</v>
      </c>
      <c r="B80" s="8">
        <f>'Folder pagecounts and compariso'!G43</f>
        <v>30000</v>
      </c>
      <c r="C80">
        <f>'Folder pagecounts and compariso'!A43</f>
        <v>55</v>
      </c>
      <c r="D80">
        <v>78</v>
      </c>
    </row>
    <row r="81" spans="1:5" x14ac:dyDescent="0.2">
      <c r="A81" s="8">
        <f>'Folder pagecounts and compariso'!F45</f>
        <v>29921</v>
      </c>
      <c r="B81" s="8">
        <f>'Folder pagecounts and compariso'!G45</f>
        <v>30000</v>
      </c>
      <c r="C81">
        <f>'Folder pagecounts and compariso'!A45</f>
        <v>57</v>
      </c>
      <c r="D81">
        <v>79</v>
      </c>
    </row>
    <row r="82" spans="1:5" x14ac:dyDescent="0.2">
      <c r="A82" s="8">
        <f>'Folder pagecounts and compariso'!F48</f>
        <v>29921</v>
      </c>
      <c r="B82" s="8">
        <f>'Folder pagecounts and compariso'!G48</f>
        <v>30000</v>
      </c>
      <c r="C82">
        <f>'Folder pagecounts and compariso'!A48</f>
        <v>63</v>
      </c>
      <c r="D82">
        <v>80</v>
      </c>
    </row>
    <row r="83" spans="1:5" x14ac:dyDescent="0.2">
      <c r="A83" s="8">
        <f>'Folder pagecounts and compariso'!F77</f>
        <v>29921</v>
      </c>
      <c r="B83" s="8">
        <f>'Folder pagecounts and compariso'!G77</f>
        <v>29951</v>
      </c>
      <c r="C83">
        <f>'Folder pagecounts and compariso'!A77</f>
        <v>67</v>
      </c>
      <c r="D83">
        <v>81</v>
      </c>
      <c r="E83" t="s">
        <v>863</v>
      </c>
    </row>
    <row r="84" spans="1:5" x14ac:dyDescent="0.2">
      <c r="A84" s="8">
        <f>'Folder pagecounts and compariso'!F78</f>
        <v>29921</v>
      </c>
      <c r="B84" s="8">
        <f>'Folder pagecounts and compariso'!G78</f>
        <v>29951</v>
      </c>
      <c r="C84">
        <f>'Folder pagecounts and compariso'!A78</f>
        <v>68</v>
      </c>
      <c r="D84">
        <v>82</v>
      </c>
      <c r="E84" t="s">
        <v>863</v>
      </c>
    </row>
    <row r="85" spans="1:5" x14ac:dyDescent="0.2">
      <c r="A85" s="8">
        <f>'Folder pagecounts and compariso'!F79</f>
        <v>29921</v>
      </c>
      <c r="B85" s="8">
        <f>'Folder pagecounts and compariso'!G79</f>
        <v>29951</v>
      </c>
      <c r="C85">
        <f>'Folder pagecounts and compariso'!A79</f>
        <v>69</v>
      </c>
      <c r="D85">
        <v>83</v>
      </c>
      <c r="E85" t="s">
        <v>863</v>
      </c>
    </row>
    <row r="86" spans="1:5" x14ac:dyDescent="0.2">
      <c r="A86" s="8">
        <f>'Folder pagecounts and compariso'!F80</f>
        <v>29921</v>
      </c>
      <c r="B86" s="8">
        <f>'Folder pagecounts and compariso'!G80</f>
        <v>30000</v>
      </c>
      <c r="C86">
        <f>'Folder pagecounts and compariso'!A80</f>
        <v>70</v>
      </c>
      <c r="D86">
        <v>84</v>
      </c>
      <c r="E86" t="s">
        <v>863</v>
      </c>
    </row>
    <row r="87" spans="1:5" x14ac:dyDescent="0.2">
      <c r="A87" s="8">
        <f>'Folder pagecounts and compariso'!F49</f>
        <v>29922</v>
      </c>
      <c r="B87" s="8">
        <f>'Folder pagecounts and compariso'!G49</f>
        <v>30000</v>
      </c>
      <c r="C87">
        <f>'Folder pagecounts and compariso'!A49</f>
        <v>64</v>
      </c>
      <c r="D87">
        <v>85</v>
      </c>
    </row>
    <row r="88" spans="1:5" x14ac:dyDescent="0.2">
      <c r="A88" s="8">
        <f>'Folder pagecounts and compariso'!F41</f>
        <v>29952</v>
      </c>
      <c r="B88" s="8">
        <f>'Folder pagecounts and compariso'!G41</f>
        <v>29982</v>
      </c>
      <c r="C88">
        <f>'Folder pagecounts and compariso'!A41</f>
        <v>53</v>
      </c>
      <c r="D88">
        <v>86</v>
      </c>
    </row>
    <row r="89" spans="1:5" x14ac:dyDescent="0.2">
      <c r="A89" s="8">
        <f>'Folder pagecounts and compariso'!F42</f>
        <v>29983</v>
      </c>
      <c r="B89" s="8">
        <f>'Folder pagecounts and compariso'!G42</f>
        <v>30000</v>
      </c>
      <c r="C89">
        <f>'Folder pagecounts and compariso'!A42</f>
        <v>54</v>
      </c>
      <c r="D89">
        <v>87</v>
      </c>
      <c r="E89" t="s">
        <v>870</v>
      </c>
    </row>
    <row r="90" spans="1:5" x14ac:dyDescent="0.2">
      <c r="A90" s="8" t="str">
        <f>'Folder pagecounts and compariso'!F60</f>
        <v>??</v>
      </c>
      <c r="B90" s="8" t="str">
        <f>'Folder pagecounts and compariso'!G60</f>
        <v>??</v>
      </c>
      <c r="C90">
        <f>'Folder pagecounts and compariso'!A60</f>
        <v>7</v>
      </c>
      <c r="D90">
        <v>88</v>
      </c>
      <c r="E90" t="s">
        <v>863</v>
      </c>
    </row>
    <row r="91" spans="1:5" x14ac:dyDescent="0.2">
      <c r="A91" s="8" t="str">
        <f>'Folder pagecounts and compariso'!F65</f>
        <v>??</v>
      </c>
      <c r="B91" s="8" t="str">
        <f>'Folder pagecounts and compariso'!G65</f>
        <v>??</v>
      </c>
      <c r="C91">
        <f>'Folder pagecounts and compariso'!A65</f>
        <v>37</v>
      </c>
      <c r="D91">
        <v>89</v>
      </c>
      <c r="E91" t="s">
        <v>863</v>
      </c>
    </row>
    <row r="92" spans="1:5" x14ac:dyDescent="0.2">
      <c r="A92" s="8" t="str">
        <f>'Folder pagecounts and compariso'!F11</f>
        <v>??</v>
      </c>
      <c r="B92" s="8" t="str">
        <f>'Folder pagecounts and compariso'!G11</f>
        <v>??</v>
      </c>
      <c r="C92">
        <f>'Folder pagecounts and compariso'!A11</f>
        <v>12</v>
      </c>
      <c r="D92">
        <v>90</v>
      </c>
    </row>
  </sheetData>
  <sortState xmlns:xlrd2="http://schemas.microsoft.com/office/spreadsheetml/2017/richdata2" ref="A2:E96">
    <sortCondition ref="D2:D9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986C-11AC-0F47-9C18-01EDD167E22A}">
  <sheetPr filterMode="1"/>
  <dimension ref="A1:J128"/>
  <sheetViews>
    <sheetView workbookViewId="0">
      <selection activeCell="D96" sqref="D96"/>
    </sheetView>
  </sheetViews>
  <sheetFormatPr baseColWidth="10" defaultRowHeight="16" x14ac:dyDescent="0.2"/>
  <cols>
    <col min="3" max="3" width="26.1640625" customWidth="1"/>
    <col min="6" max="6" width="20.5" customWidth="1"/>
  </cols>
  <sheetData>
    <row r="1" spans="1:8" x14ac:dyDescent="0.2">
      <c r="A1" t="s">
        <v>406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890</v>
      </c>
      <c r="H1" t="s">
        <v>891</v>
      </c>
    </row>
    <row r="2" spans="1:8" hidden="1" x14ac:dyDescent="0.2">
      <c r="A2">
        <v>1</v>
      </c>
      <c r="B2">
        <v>1</v>
      </c>
      <c r="C2" t="s">
        <v>791</v>
      </c>
      <c r="D2" t="s">
        <v>412</v>
      </c>
      <c r="E2" s="5">
        <v>27211</v>
      </c>
      <c r="F2" t="s">
        <v>413</v>
      </c>
      <c r="G2">
        <v>4</v>
      </c>
      <c r="H2">
        <v>42</v>
      </c>
    </row>
    <row r="3" spans="1:8" hidden="1" x14ac:dyDescent="0.2">
      <c r="A3">
        <v>1</v>
      </c>
      <c r="B3">
        <v>2</v>
      </c>
      <c r="C3" t="s">
        <v>414</v>
      </c>
      <c r="D3" t="s">
        <v>415</v>
      </c>
      <c r="E3">
        <v>1975</v>
      </c>
      <c r="F3" t="s">
        <v>416</v>
      </c>
      <c r="G3">
        <v>5</v>
      </c>
      <c r="H3">
        <v>65</v>
      </c>
    </row>
    <row r="4" spans="1:8" hidden="1" x14ac:dyDescent="0.2">
      <c r="A4">
        <v>1</v>
      </c>
      <c r="B4">
        <v>3</v>
      </c>
      <c r="C4" t="s">
        <v>417</v>
      </c>
      <c r="D4" t="s">
        <v>418</v>
      </c>
      <c r="E4">
        <v>1975</v>
      </c>
      <c r="F4" t="s">
        <v>419</v>
      </c>
      <c r="G4">
        <v>5</v>
      </c>
      <c r="H4">
        <v>71</v>
      </c>
    </row>
    <row r="5" spans="1:8" hidden="1" x14ac:dyDescent="0.2">
      <c r="A5">
        <v>1</v>
      </c>
      <c r="B5">
        <v>4</v>
      </c>
      <c r="C5" t="s">
        <v>420</v>
      </c>
      <c r="D5" t="s">
        <v>422</v>
      </c>
      <c r="E5">
        <v>1975</v>
      </c>
      <c r="F5" t="s">
        <v>421</v>
      </c>
      <c r="G5">
        <v>5</v>
      </c>
      <c r="H5">
        <v>132</v>
      </c>
    </row>
    <row r="6" spans="1:8" hidden="1" x14ac:dyDescent="0.2">
      <c r="A6">
        <v>1</v>
      </c>
      <c r="B6">
        <v>5</v>
      </c>
      <c r="C6" t="s">
        <v>423</v>
      </c>
      <c r="D6" t="s">
        <v>424</v>
      </c>
      <c r="E6" s="2">
        <v>27548</v>
      </c>
      <c r="F6" t="s">
        <v>425</v>
      </c>
      <c r="G6">
        <v>5</v>
      </c>
      <c r="H6">
        <v>172</v>
      </c>
    </row>
    <row r="7" spans="1:8" hidden="1" x14ac:dyDescent="0.2">
      <c r="A7">
        <v>1</v>
      </c>
      <c r="B7">
        <v>6</v>
      </c>
      <c r="C7" t="s">
        <v>426</v>
      </c>
      <c r="D7" t="s">
        <v>427</v>
      </c>
      <c r="E7">
        <v>1975</v>
      </c>
      <c r="F7" t="s">
        <v>428</v>
      </c>
      <c r="G7">
        <v>5</v>
      </c>
      <c r="H7">
        <v>231</v>
      </c>
    </row>
    <row r="8" spans="1:8" hidden="1" x14ac:dyDescent="0.2">
      <c r="A8">
        <v>1</v>
      </c>
      <c r="B8">
        <v>7</v>
      </c>
      <c r="C8" t="s">
        <v>429</v>
      </c>
      <c r="D8" t="s">
        <v>430</v>
      </c>
      <c r="E8">
        <v>1977</v>
      </c>
      <c r="F8" t="s">
        <v>431</v>
      </c>
      <c r="G8">
        <v>50</v>
      </c>
      <c r="H8">
        <v>16</v>
      </c>
    </row>
    <row r="9" spans="1:8" hidden="1" x14ac:dyDescent="0.2">
      <c r="A9">
        <v>1</v>
      </c>
      <c r="B9">
        <v>8</v>
      </c>
      <c r="C9" t="s">
        <v>432</v>
      </c>
      <c r="D9" t="s">
        <v>434</v>
      </c>
      <c r="E9">
        <v>1978</v>
      </c>
      <c r="F9" t="s">
        <v>433</v>
      </c>
      <c r="G9">
        <v>11</v>
      </c>
      <c r="H9">
        <v>31</v>
      </c>
    </row>
    <row r="10" spans="1:8" hidden="1" x14ac:dyDescent="0.2">
      <c r="A10">
        <v>1</v>
      </c>
      <c r="B10">
        <v>9</v>
      </c>
      <c r="C10" t="s">
        <v>435</v>
      </c>
      <c r="D10" t="s">
        <v>436</v>
      </c>
      <c r="E10" s="5">
        <v>28672</v>
      </c>
      <c r="F10">
        <v>35</v>
      </c>
      <c r="G10">
        <v>16</v>
      </c>
      <c r="H10">
        <v>9</v>
      </c>
    </row>
    <row r="11" spans="1:8" hidden="1" x14ac:dyDescent="0.2">
      <c r="A11">
        <v>1</v>
      </c>
      <c r="B11">
        <v>10</v>
      </c>
      <c r="C11" t="s">
        <v>437</v>
      </c>
      <c r="D11" t="s">
        <v>438</v>
      </c>
      <c r="E11">
        <v>1978</v>
      </c>
      <c r="F11" t="s">
        <v>439</v>
      </c>
      <c r="G11">
        <v>18</v>
      </c>
      <c r="H11">
        <v>25</v>
      </c>
    </row>
    <row r="12" spans="1:8" hidden="1" x14ac:dyDescent="0.2">
      <c r="A12">
        <v>1</v>
      </c>
      <c r="B12">
        <v>11</v>
      </c>
      <c r="C12" t="s">
        <v>440</v>
      </c>
      <c r="D12" t="s">
        <v>441</v>
      </c>
      <c r="E12">
        <v>1978</v>
      </c>
      <c r="F12" t="s">
        <v>442</v>
      </c>
      <c r="G12">
        <v>20</v>
      </c>
      <c r="H12">
        <v>75</v>
      </c>
    </row>
    <row r="13" spans="1:8" hidden="1" x14ac:dyDescent="0.2">
      <c r="A13">
        <v>1</v>
      </c>
      <c r="B13">
        <v>12</v>
      </c>
      <c r="C13" t="s">
        <v>443</v>
      </c>
      <c r="D13" t="s">
        <v>445</v>
      </c>
      <c r="E13">
        <v>1978</v>
      </c>
      <c r="F13" t="s">
        <v>444</v>
      </c>
      <c r="G13">
        <v>39</v>
      </c>
      <c r="H13">
        <v>37</v>
      </c>
    </row>
    <row r="14" spans="1:8" hidden="1" x14ac:dyDescent="0.2">
      <c r="A14">
        <v>1</v>
      </c>
      <c r="B14">
        <v>13</v>
      </c>
      <c r="C14" t="s">
        <v>446</v>
      </c>
      <c r="D14" t="s">
        <v>447</v>
      </c>
      <c r="E14">
        <v>1979</v>
      </c>
      <c r="F14">
        <v>41</v>
      </c>
      <c r="G14">
        <v>42</v>
      </c>
      <c r="H14">
        <v>39</v>
      </c>
    </row>
    <row r="15" spans="1:8" hidden="1" x14ac:dyDescent="0.2">
      <c r="A15">
        <v>1</v>
      </c>
      <c r="B15">
        <v>14</v>
      </c>
      <c r="C15" t="s">
        <v>448</v>
      </c>
      <c r="D15" t="s">
        <v>449</v>
      </c>
      <c r="E15">
        <v>1979</v>
      </c>
      <c r="F15" t="s">
        <v>450</v>
      </c>
      <c r="G15">
        <v>41</v>
      </c>
      <c r="H15">
        <v>52</v>
      </c>
    </row>
    <row r="16" spans="1:8" hidden="1" x14ac:dyDescent="0.2">
      <c r="A16">
        <v>1</v>
      </c>
      <c r="B16">
        <v>15</v>
      </c>
      <c r="C16" t="s">
        <v>451</v>
      </c>
      <c r="D16" t="s">
        <v>453</v>
      </c>
      <c r="E16">
        <v>1979</v>
      </c>
      <c r="F16" t="s">
        <v>452</v>
      </c>
      <c r="G16">
        <v>45</v>
      </c>
      <c r="H16">
        <v>203</v>
      </c>
    </row>
    <row r="17" spans="1:10" x14ac:dyDescent="0.2">
      <c r="A17">
        <v>1</v>
      </c>
      <c r="B17">
        <v>16</v>
      </c>
      <c r="C17" s="9" t="s">
        <v>454</v>
      </c>
      <c r="D17" t="s">
        <v>455</v>
      </c>
      <c r="E17">
        <v>1979</v>
      </c>
      <c r="F17" t="s">
        <v>456</v>
      </c>
      <c r="G17" s="9"/>
      <c r="H17" s="9"/>
      <c r="J17" t="s">
        <v>892</v>
      </c>
    </row>
    <row r="18" spans="1:10" hidden="1" x14ac:dyDescent="0.2">
      <c r="A18">
        <v>1</v>
      </c>
      <c r="B18">
        <v>17</v>
      </c>
      <c r="C18" t="s">
        <v>457</v>
      </c>
      <c r="D18" t="s">
        <v>458</v>
      </c>
      <c r="E18">
        <v>1979</v>
      </c>
      <c r="F18" t="s">
        <v>459</v>
      </c>
      <c r="G18">
        <v>49</v>
      </c>
      <c r="H18">
        <v>163</v>
      </c>
    </row>
    <row r="19" spans="1:10" hidden="1" x14ac:dyDescent="0.2">
      <c r="A19">
        <v>1</v>
      </c>
      <c r="B19">
        <v>18</v>
      </c>
      <c r="C19" t="s">
        <v>460</v>
      </c>
      <c r="D19" t="s">
        <v>462</v>
      </c>
      <c r="E19" s="2">
        <v>29542</v>
      </c>
      <c r="F19" t="s">
        <v>461</v>
      </c>
      <c r="G19">
        <v>1</v>
      </c>
      <c r="H19">
        <v>156</v>
      </c>
    </row>
    <row r="20" spans="1:10" hidden="1" x14ac:dyDescent="0.2">
      <c r="A20">
        <v>1</v>
      </c>
      <c r="B20">
        <v>19</v>
      </c>
      <c r="C20" t="s">
        <v>463</v>
      </c>
      <c r="D20" t="s">
        <v>465</v>
      </c>
      <c r="E20" s="2">
        <v>29549</v>
      </c>
      <c r="F20" t="s">
        <v>464</v>
      </c>
      <c r="G20">
        <v>1</v>
      </c>
      <c r="H20">
        <v>169</v>
      </c>
    </row>
    <row r="21" spans="1:10" hidden="1" x14ac:dyDescent="0.2">
      <c r="A21">
        <v>1</v>
      </c>
      <c r="B21">
        <v>20</v>
      </c>
      <c r="C21" t="s">
        <v>466</v>
      </c>
      <c r="D21" t="s">
        <v>468</v>
      </c>
      <c r="E21" s="2">
        <v>29557</v>
      </c>
      <c r="F21" t="s">
        <v>467</v>
      </c>
      <c r="G21">
        <v>1</v>
      </c>
      <c r="H21">
        <v>161</v>
      </c>
    </row>
    <row r="22" spans="1:10" hidden="1" x14ac:dyDescent="0.2">
      <c r="A22">
        <v>1</v>
      </c>
      <c r="B22">
        <v>21</v>
      </c>
      <c r="C22" t="s">
        <v>469</v>
      </c>
      <c r="D22" t="s">
        <v>471</v>
      </c>
      <c r="E22" s="2">
        <v>29565</v>
      </c>
      <c r="F22" t="s">
        <v>470</v>
      </c>
      <c r="G22">
        <v>1</v>
      </c>
      <c r="H22">
        <v>165</v>
      </c>
    </row>
    <row r="23" spans="1:10" hidden="1" x14ac:dyDescent="0.2">
      <c r="A23">
        <v>2</v>
      </c>
      <c r="B23">
        <v>1</v>
      </c>
      <c r="C23" t="s">
        <v>472</v>
      </c>
      <c r="D23" t="s">
        <v>474</v>
      </c>
      <c r="E23" s="1">
        <v>1974</v>
      </c>
      <c r="F23" t="s">
        <v>473</v>
      </c>
      <c r="G23">
        <v>4</v>
      </c>
      <c r="H23">
        <v>1</v>
      </c>
    </row>
    <row r="24" spans="1:10" hidden="1" x14ac:dyDescent="0.2">
      <c r="A24">
        <v>2</v>
      </c>
      <c r="B24">
        <v>2</v>
      </c>
      <c r="C24" t="s">
        <v>475</v>
      </c>
      <c r="D24" t="s">
        <v>477</v>
      </c>
      <c r="E24" s="1">
        <v>1975</v>
      </c>
      <c r="F24" t="s">
        <v>476</v>
      </c>
      <c r="G24">
        <v>5</v>
      </c>
      <c r="H24">
        <v>77</v>
      </c>
    </row>
    <row r="25" spans="1:10" hidden="1" x14ac:dyDescent="0.2">
      <c r="A25">
        <v>2</v>
      </c>
      <c r="B25">
        <v>3</v>
      </c>
      <c r="C25" t="s">
        <v>478</v>
      </c>
      <c r="D25" t="s">
        <v>480</v>
      </c>
      <c r="E25">
        <v>1977</v>
      </c>
      <c r="F25" t="s">
        <v>479</v>
      </c>
      <c r="G25">
        <v>50</v>
      </c>
      <c r="H25">
        <v>99</v>
      </c>
    </row>
    <row r="26" spans="1:10" hidden="1" x14ac:dyDescent="0.2">
      <c r="A26">
        <v>2</v>
      </c>
      <c r="B26">
        <v>4</v>
      </c>
      <c r="C26" t="s">
        <v>481</v>
      </c>
      <c r="D26" t="s">
        <v>483</v>
      </c>
      <c r="E26">
        <v>1978</v>
      </c>
      <c r="F26" t="s">
        <v>482</v>
      </c>
      <c r="G26">
        <v>9</v>
      </c>
      <c r="H26">
        <v>25</v>
      </c>
    </row>
    <row r="27" spans="1:10" x14ac:dyDescent="0.2">
      <c r="A27">
        <v>2</v>
      </c>
      <c r="B27">
        <v>5</v>
      </c>
      <c r="C27" s="9" t="s">
        <v>484</v>
      </c>
      <c r="D27" t="s">
        <v>485</v>
      </c>
      <c r="E27">
        <v>1978</v>
      </c>
      <c r="F27">
        <v>72</v>
      </c>
      <c r="G27" s="9"/>
      <c r="H27" s="9"/>
      <c r="J27" t="s">
        <v>892</v>
      </c>
    </row>
    <row r="28" spans="1:10" hidden="1" x14ac:dyDescent="0.2">
      <c r="A28">
        <v>2</v>
      </c>
      <c r="B28">
        <v>6</v>
      </c>
      <c r="C28" t="s">
        <v>486</v>
      </c>
      <c r="D28" t="s">
        <v>488</v>
      </c>
      <c r="E28">
        <v>1978</v>
      </c>
      <c r="F28" t="s">
        <v>487</v>
      </c>
      <c r="G28">
        <v>14</v>
      </c>
      <c r="H28">
        <v>31</v>
      </c>
    </row>
    <row r="29" spans="1:10" hidden="1" x14ac:dyDescent="0.2">
      <c r="A29">
        <v>2</v>
      </c>
      <c r="B29">
        <v>7</v>
      </c>
      <c r="C29" t="s">
        <v>489</v>
      </c>
      <c r="D29" t="s">
        <v>490</v>
      </c>
      <c r="E29">
        <v>1978</v>
      </c>
      <c r="F29" t="s">
        <v>491</v>
      </c>
      <c r="G29">
        <v>14</v>
      </c>
      <c r="H29">
        <v>45</v>
      </c>
    </row>
    <row r="30" spans="1:10" hidden="1" x14ac:dyDescent="0.2">
      <c r="A30">
        <v>2</v>
      </c>
      <c r="B30">
        <v>8</v>
      </c>
      <c r="C30" t="s">
        <v>492</v>
      </c>
      <c r="D30" t="s">
        <v>493</v>
      </c>
      <c r="E30">
        <v>1978</v>
      </c>
      <c r="F30" t="s">
        <v>494</v>
      </c>
      <c r="G30">
        <v>24</v>
      </c>
      <c r="H30">
        <v>88</v>
      </c>
      <c r="I30" t="s">
        <v>495</v>
      </c>
    </row>
    <row r="31" spans="1:10" hidden="1" x14ac:dyDescent="0.2">
      <c r="A31">
        <v>2</v>
      </c>
      <c r="B31">
        <v>9</v>
      </c>
      <c r="C31" t="s">
        <v>496</v>
      </c>
      <c r="D31" t="s">
        <v>497</v>
      </c>
      <c r="E31">
        <v>1978</v>
      </c>
      <c r="F31" t="s">
        <v>498</v>
      </c>
      <c r="G31">
        <v>29</v>
      </c>
      <c r="H31">
        <v>10</v>
      </c>
    </row>
    <row r="32" spans="1:10" hidden="1" x14ac:dyDescent="0.2">
      <c r="A32">
        <v>2</v>
      </c>
      <c r="B32">
        <v>10</v>
      </c>
      <c r="C32" t="s">
        <v>500</v>
      </c>
      <c r="D32" t="s">
        <v>501</v>
      </c>
      <c r="E32">
        <v>1978</v>
      </c>
      <c r="F32">
        <v>79</v>
      </c>
      <c r="G32">
        <v>28</v>
      </c>
      <c r="H32">
        <v>10</v>
      </c>
      <c r="I32" t="s">
        <v>499</v>
      </c>
    </row>
    <row r="33" spans="1:8" hidden="1" x14ac:dyDescent="0.2">
      <c r="A33">
        <v>2</v>
      </c>
      <c r="B33">
        <v>11</v>
      </c>
      <c r="C33" t="s">
        <v>502</v>
      </c>
      <c r="D33" t="s">
        <v>503</v>
      </c>
      <c r="E33">
        <v>1978</v>
      </c>
      <c r="F33">
        <v>79</v>
      </c>
      <c r="G33">
        <v>21</v>
      </c>
      <c r="H33">
        <v>43</v>
      </c>
    </row>
    <row r="34" spans="1:8" hidden="1" x14ac:dyDescent="0.2">
      <c r="A34">
        <v>2</v>
      </c>
      <c r="B34">
        <v>12</v>
      </c>
      <c r="C34" t="s">
        <v>504</v>
      </c>
      <c r="D34" t="s">
        <v>505</v>
      </c>
      <c r="E34">
        <v>1978</v>
      </c>
      <c r="F34" t="s">
        <v>506</v>
      </c>
      <c r="G34">
        <v>22</v>
      </c>
      <c r="H34">
        <v>63</v>
      </c>
    </row>
    <row r="35" spans="1:8" hidden="1" x14ac:dyDescent="0.2">
      <c r="A35">
        <v>2</v>
      </c>
      <c r="B35">
        <v>13</v>
      </c>
      <c r="C35" t="s">
        <v>507</v>
      </c>
      <c r="D35" t="s">
        <v>509</v>
      </c>
      <c r="E35">
        <v>1978</v>
      </c>
      <c r="F35" t="s">
        <v>508</v>
      </c>
      <c r="G35">
        <v>38</v>
      </c>
      <c r="H35">
        <v>64</v>
      </c>
    </row>
    <row r="36" spans="1:8" hidden="1" x14ac:dyDescent="0.2">
      <c r="A36">
        <v>2</v>
      </c>
      <c r="B36">
        <v>14</v>
      </c>
      <c r="C36" t="s">
        <v>510</v>
      </c>
      <c r="D36" t="s">
        <v>511</v>
      </c>
      <c r="E36">
        <v>1978</v>
      </c>
      <c r="F36">
        <v>81</v>
      </c>
      <c r="G36">
        <v>21</v>
      </c>
      <c r="H36">
        <v>46</v>
      </c>
    </row>
    <row r="37" spans="1:8" hidden="1" x14ac:dyDescent="0.2">
      <c r="A37">
        <v>2</v>
      </c>
      <c r="B37">
        <v>15</v>
      </c>
      <c r="C37" t="s">
        <v>512</v>
      </c>
      <c r="D37" t="s">
        <v>514</v>
      </c>
      <c r="E37">
        <v>1978</v>
      </c>
      <c r="F37" t="s">
        <v>513</v>
      </c>
      <c r="G37">
        <v>21</v>
      </c>
      <c r="H37">
        <v>137</v>
      </c>
    </row>
    <row r="38" spans="1:8" hidden="1" x14ac:dyDescent="0.2">
      <c r="A38">
        <v>2</v>
      </c>
      <c r="B38">
        <v>16</v>
      </c>
      <c r="C38" t="s">
        <v>515</v>
      </c>
      <c r="D38" t="s">
        <v>517</v>
      </c>
      <c r="E38">
        <v>1978</v>
      </c>
      <c r="F38" t="s">
        <v>516</v>
      </c>
      <c r="G38">
        <v>24</v>
      </c>
      <c r="H38">
        <v>47</v>
      </c>
    </row>
    <row r="39" spans="1:8" hidden="1" x14ac:dyDescent="0.2">
      <c r="A39">
        <v>2</v>
      </c>
      <c r="B39">
        <v>17</v>
      </c>
      <c r="C39" t="s">
        <v>518</v>
      </c>
      <c r="D39" t="s">
        <v>520</v>
      </c>
      <c r="E39">
        <v>1978</v>
      </c>
      <c r="F39" t="s">
        <v>519</v>
      </c>
      <c r="G39">
        <v>21</v>
      </c>
      <c r="H39">
        <v>2</v>
      </c>
    </row>
    <row r="40" spans="1:8" hidden="1" x14ac:dyDescent="0.2">
      <c r="A40">
        <v>2</v>
      </c>
      <c r="B40">
        <v>18</v>
      </c>
      <c r="C40" t="s">
        <v>521</v>
      </c>
      <c r="D40" t="s">
        <v>522</v>
      </c>
      <c r="E40" s="2">
        <v>28781</v>
      </c>
      <c r="F40" t="s">
        <v>524</v>
      </c>
      <c r="G40">
        <v>21</v>
      </c>
      <c r="H40">
        <v>1</v>
      </c>
    </row>
    <row r="41" spans="1:8" hidden="1" x14ac:dyDescent="0.2">
      <c r="A41">
        <v>2</v>
      </c>
      <c r="B41">
        <v>19</v>
      </c>
      <c r="C41" t="s">
        <v>523</v>
      </c>
      <c r="D41" t="s">
        <v>526</v>
      </c>
      <c r="E41" s="5">
        <v>28795</v>
      </c>
      <c r="F41" t="s">
        <v>525</v>
      </c>
      <c r="G41">
        <v>22</v>
      </c>
      <c r="H41">
        <v>87</v>
      </c>
    </row>
    <row r="42" spans="1:8" hidden="1" x14ac:dyDescent="0.2">
      <c r="A42">
        <v>2</v>
      </c>
      <c r="B42">
        <v>20</v>
      </c>
      <c r="C42" t="s">
        <v>527</v>
      </c>
      <c r="D42" t="s">
        <v>528</v>
      </c>
      <c r="E42">
        <v>1979</v>
      </c>
      <c r="F42" t="s">
        <v>529</v>
      </c>
      <c r="G42">
        <v>42</v>
      </c>
      <c r="H42">
        <v>6</v>
      </c>
    </row>
    <row r="43" spans="1:8" hidden="1" x14ac:dyDescent="0.2">
      <c r="A43">
        <v>2</v>
      </c>
      <c r="B43">
        <v>21</v>
      </c>
      <c r="C43" t="s">
        <v>530</v>
      </c>
      <c r="D43" t="s">
        <v>531</v>
      </c>
      <c r="E43">
        <v>1979</v>
      </c>
      <c r="F43" t="s">
        <v>532</v>
      </c>
      <c r="G43">
        <v>43</v>
      </c>
      <c r="H43">
        <v>84</v>
      </c>
    </row>
    <row r="44" spans="1:8" hidden="1" x14ac:dyDescent="0.2">
      <c r="A44">
        <v>2</v>
      </c>
      <c r="B44">
        <v>22</v>
      </c>
      <c r="C44" t="s">
        <v>533</v>
      </c>
      <c r="D44" t="s">
        <v>535</v>
      </c>
      <c r="E44">
        <v>1979</v>
      </c>
      <c r="F44" t="s">
        <v>534</v>
      </c>
      <c r="G44">
        <v>45</v>
      </c>
      <c r="H44">
        <v>142</v>
      </c>
    </row>
    <row r="45" spans="1:8" hidden="1" x14ac:dyDescent="0.2">
      <c r="A45">
        <v>2</v>
      </c>
      <c r="B45">
        <v>23</v>
      </c>
      <c r="C45" t="s">
        <v>536</v>
      </c>
      <c r="D45" t="s">
        <v>538</v>
      </c>
      <c r="E45">
        <v>1979</v>
      </c>
      <c r="F45" t="s">
        <v>537</v>
      </c>
      <c r="G45">
        <v>85</v>
      </c>
      <c r="H45">
        <v>67</v>
      </c>
    </row>
    <row r="46" spans="1:8" hidden="1" x14ac:dyDescent="0.2">
      <c r="A46">
        <v>2</v>
      </c>
      <c r="B46">
        <v>24</v>
      </c>
      <c r="C46" t="s">
        <v>539</v>
      </c>
      <c r="D46" t="s">
        <v>541</v>
      </c>
      <c r="E46" s="2">
        <v>29140</v>
      </c>
      <c r="F46" t="s">
        <v>540</v>
      </c>
      <c r="G46">
        <v>47</v>
      </c>
      <c r="H46">
        <v>17</v>
      </c>
    </row>
    <row r="47" spans="1:8" hidden="1" x14ac:dyDescent="0.2">
      <c r="A47">
        <v>2</v>
      </c>
      <c r="B47">
        <v>25</v>
      </c>
      <c r="C47" t="s">
        <v>542</v>
      </c>
      <c r="D47" t="s">
        <v>544</v>
      </c>
      <c r="E47">
        <v>1980</v>
      </c>
      <c r="F47" t="s">
        <v>543</v>
      </c>
      <c r="G47">
        <v>1</v>
      </c>
      <c r="H47">
        <v>23</v>
      </c>
    </row>
    <row r="48" spans="1:8" hidden="1" x14ac:dyDescent="0.2">
      <c r="A48">
        <v>2</v>
      </c>
      <c r="B48">
        <v>26</v>
      </c>
      <c r="C48" t="s">
        <v>545</v>
      </c>
      <c r="E48">
        <v>1980</v>
      </c>
      <c r="F48" t="s">
        <v>546</v>
      </c>
      <c r="G48">
        <v>1</v>
      </c>
      <c r="H48">
        <v>29</v>
      </c>
    </row>
    <row r="49" spans="1:9" hidden="1" x14ac:dyDescent="0.2">
      <c r="A49">
        <v>2</v>
      </c>
      <c r="B49">
        <v>27</v>
      </c>
      <c r="C49" t="s">
        <v>547</v>
      </c>
      <c r="D49" t="s">
        <v>548</v>
      </c>
      <c r="E49">
        <v>1980</v>
      </c>
      <c r="F49" t="s">
        <v>549</v>
      </c>
      <c r="G49">
        <v>83</v>
      </c>
      <c r="H49">
        <v>111</v>
      </c>
    </row>
    <row r="50" spans="1:9" hidden="1" x14ac:dyDescent="0.2">
      <c r="A50">
        <v>2</v>
      </c>
      <c r="B50">
        <v>28</v>
      </c>
      <c r="C50" t="s">
        <v>550</v>
      </c>
      <c r="D50" t="s">
        <v>552</v>
      </c>
      <c r="E50">
        <v>1980</v>
      </c>
      <c r="F50" t="s">
        <v>551</v>
      </c>
      <c r="G50">
        <v>84</v>
      </c>
      <c r="H50">
        <v>8</v>
      </c>
    </row>
    <row r="51" spans="1:9" hidden="1" x14ac:dyDescent="0.2">
      <c r="A51">
        <v>2</v>
      </c>
      <c r="B51">
        <v>29</v>
      </c>
      <c r="C51" t="s">
        <v>553</v>
      </c>
      <c r="D51" t="s">
        <v>554</v>
      </c>
      <c r="E51" s="2">
        <v>29376</v>
      </c>
      <c r="F51">
        <v>104</v>
      </c>
      <c r="G51">
        <v>83</v>
      </c>
      <c r="H51">
        <v>1</v>
      </c>
    </row>
    <row r="52" spans="1:9" hidden="1" x14ac:dyDescent="0.2">
      <c r="A52">
        <v>2</v>
      </c>
      <c r="B52">
        <v>30</v>
      </c>
      <c r="C52" t="s">
        <v>555</v>
      </c>
      <c r="D52" t="s">
        <v>556</v>
      </c>
      <c r="E52" s="2">
        <v>29513</v>
      </c>
      <c r="F52" t="s">
        <v>557</v>
      </c>
      <c r="G52">
        <v>1</v>
      </c>
      <c r="H52">
        <v>45</v>
      </c>
    </row>
    <row r="53" spans="1:9" hidden="1" x14ac:dyDescent="0.2">
      <c r="A53">
        <v>2</v>
      </c>
      <c r="B53">
        <v>31</v>
      </c>
      <c r="C53" t="s">
        <v>558</v>
      </c>
      <c r="D53" t="s">
        <v>560</v>
      </c>
      <c r="E53" s="2">
        <v>29518</v>
      </c>
      <c r="F53" t="s">
        <v>559</v>
      </c>
      <c r="G53">
        <v>1</v>
      </c>
      <c r="H53">
        <v>81</v>
      </c>
    </row>
    <row r="54" spans="1:9" hidden="1" x14ac:dyDescent="0.2">
      <c r="A54">
        <v>2</v>
      </c>
      <c r="B54">
        <v>32</v>
      </c>
      <c r="C54" t="s">
        <v>561</v>
      </c>
      <c r="D54" t="s">
        <v>563</v>
      </c>
      <c r="E54" s="2">
        <v>29520</v>
      </c>
      <c r="F54" t="s">
        <v>562</v>
      </c>
      <c r="G54">
        <v>1</v>
      </c>
      <c r="H54">
        <v>92</v>
      </c>
    </row>
    <row r="55" spans="1:9" hidden="1" x14ac:dyDescent="0.2">
      <c r="A55">
        <v>2</v>
      </c>
      <c r="B55">
        <v>33</v>
      </c>
      <c r="C55" t="s">
        <v>564</v>
      </c>
      <c r="D55" t="s">
        <v>566</v>
      </c>
      <c r="E55" s="2">
        <v>29571</v>
      </c>
      <c r="F55" t="s">
        <v>565</v>
      </c>
      <c r="G55">
        <v>84</v>
      </c>
      <c r="H55">
        <v>9</v>
      </c>
    </row>
    <row r="56" spans="1:9" hidden="1" x14ac:dyDescent="0.2">
      <c r="A56">
        <v>2</v>
      </c>
      <c r="B56">
        <v>34</v>
      </c>
      <c r="C56" t="s">
        <v>567</v>
      </c>
      <c r="D56" t="s">
        <v>568</v>
      </c>
      <c r="E56" s="2">
        <v>29587</v>
      </c>
      <c r="F56" t="s">
        <v>569</v>
      </c>
      <c r="G56">
        <v>84</v>
      </c>
      <c r="H56">
        <v>10</v>
      </c>
    </row>
    <row r="57" spans="1:9" hidden="1" x14ac:dyDescent="0.2">
      <c r="A57">
        <v>2</v>
      </c>
      <c r="B57">
        <v>35</v>
      </c>
      <c r="C57" t="s">
        <v>570</v>
      </c>
      <c r="D57" t="s">
        <v>572</v>
      </c>
      <c r="E57">
        <v>1981</v>
      </c>
      <c r="F57" t="s">
        <v>571</v>
      </c>
      <c r="G57">
        <v>53</v>
      </c>
      <c r="H57">
        <v>82</v>
      </c>
    </row>
    <row r="58" spans="1:9" hidden="1" x14ac:dyDescent="0.2">
      <c r="A58">
        <v>2</v>
      </c>
      <c r="B58">
        <v>36</v>
      </c>
      <c r="C58" t="s">
        <v>573</v>
      </c>
      <c r="D58" t="s">
        <v>574</v>
      </c>
      <c r="E58">
        <v>1981</v>
      </c>
      <c r="F58" t="s">
        <v>575</v>
      </c>
      <c r="G58">
        <v>79</v>
      </c>
      <c r="H58">
        <v>108</v>
      </c>
    </row>
    <row r="59" spans="1:9" hidden="1" x14ac:dyDescent="0.2">
      <c r="A59">
        <v>2</v>
      </c>
      <c r="B59">
        <v>37</v>
      </c>
      <c r="C59" t="s">
        <v>576</v>
      </c>
      <c r="D59" t="s">
        <v>577</v>
      </c>
      <c r="E59">
        <v>1981</v>
      </c>
      <c r="F59" t="s">
        <v>580</v>
      </c>
      <c r="G59">
        <v>91</v>
      </c>
      <c r="H59">
        <v>155</v>
      </c>
    </row>
    <row r="60" spans="1:9" hidden="1" x14ac:dyDescent="0.2">
      <c r="A60">
        <v>2</v>
      </c>
      <c r="B60">
        <v>38</v>
      </c>
      <c r="C60" t="s">
        <v>578</v>
      </c>
      <c r="D60" t="s">
        <v>579</v>
      </c>
      <c r="E60" s="2">
        <v>29748</v>
      </c>
      <c r="F60" t="s">
        <v>581</v>
      </c>
      <c r="G60">
        <v>91</v>
      </c>
      <c r="H60">
        <v>133</v>
      </c>
    </row>
    <row r="61" spans="1:9" hidden="1" x14ac:dyDescent="0.2">
      <c r="A61">
        <v>2</v>
      </c>
      <c r="B61">
        <v>39</v>
      </c>
      <c r="C61" t="s">
        <v>582</v>
      </c>
      <c r="D61" t="s">
        <v>583</v>
      </c>
      <c r="E61">
        <v>1981</v>
      </c>
      <c r="F61" t="s">
        <v>584</v>
      </c>
      <c r="G61">
        <v>71</v>
      </c>
      <c r="H61">
        <v>116</v>
      </c>
      <c r="I61" t="s">
        <v>893</v>
      </c>
    </row>
    <row r="62" spans="1:9" hidden="1" x14ac:dyDescent="0.2">
      <c r="A62">
        <v>2</v>
      </c>
      <c r="B62">
        <v>40</v>
      </c>
      <c r="C62" t="s">
        <v>585</v>
      </c>
      <c r="D62" t="s">
        <v>586</v>
      </c>
      <c r="E62" s="2">
        <v>29840</v>
      </c>
      <c r="F62" t="s">
        <v>587</v>
      </c>
      <c r="G62">
        <v>56</v>
      </c>
      <c r="H62">
        <v>15</v>
      </c>
    </row>
    <row r="63" spans="1:9" hidden="1" x14ac:dyDescent="0.2">
      <c r="A63">
        <v>2</v>
      </c>
      <c r="B63">
        <v>41</v>
      </c>
      <c r="C63" t="s">
        <v>588</v>
      </c>
      <c r="D63" t="s">
        <v>589</v>
      </c>
      <c r="E63" s="2">
        <v>29841</v>
      </c>
      <c r="F63" t="s">
        <v>590</v>
      </c>
      <c r="G63">
        <v>56</v>
      </c>
      <c r="H63">
        <v>16</v>
      </c>
    </row>
    <row r="64" spans="1:9" hidden="1" x14ac:dyDescent="0.2">
      <c r="A64">
        <v>2</v>
      </c>
      <c r="B64">
        <v>42</v>
      </c>
      <c r="C64" t="s">
        <v>591</v>
      </c>
      <c r="D64" t="s">
        <v>593</v>
      </c>
      <c r="E64" s="2">
        <v>29841</v>
      </c>
      <c r="F64" t="s">
        <v>592</v>
      </c>
      <c r="G64">
        <v>56</v>
      </c>
      <c r="H64">
        <v>17</v>
      </c>
    </row>
    <row r="65" spans="1:8" hidden="1" x14ac:dyDescent="0.2">
      <c r="A65">
        <v>2</v>
      </c>
      <c r="B65">
        <v>43</v>
      </c>
      <c r="C65" t="s">
        <v>594</v>
      </c>
      <c r="D65" t="s">
        <v>595</v>
      </c>
      <c r="E65" s="2">
        <v>29841</v>
      </c>
      <c r="F65" t="s">
        <v>596</v>
      </c>
      <c r="G65">
        <v>56</v>
      </c>
      <c r="H65">
        <v>18</v>
      </c>
    </row>
    <row r="66" spans="1:8" hidden="1" x14ac:dyDescent="0.2">
      <c r="A66">
        <v>2</v>
      </c>
      <c r="B66">
        <v>44</v>
      </c>
      <c r="C66" t="s">
        <v>597</v>
      </c>
      <c r="D66" t="s">
        <v>599</v>
      </c>
      <c r="E66" s="2">
        <v>29841</v>
      </c>
      <c r="F66" t="s">
        <v>598</v>
      </c>
      <c r="G66">
        <v>56</v>
      </c>
      <c r="H66">
        <v>19</v>
      </c>
    </row>
    <row r="67" spans="1:8" hidden="1" x14ac:dyDescent="0.2">
      <c r="A67">
        <v>2</v>
      </c>
      <c r="B67">
        <v>45</v>
      </c>
      <c r="C67" t="s">
        <v>600</v>
      </c>
      <c r="D67" t="s">
        <v>601</v>
      </c>
      <c r="E67" s="2">
        <v>29907</v>
      </c>
      <c r="F67">
        <v>130</v>
      </c>
      <c r="G67">
        <v>56</v>
      </c>
      <c r="H67">
        <v>28</v>
      </c>
    </row>
    <row r="68" spans="1:8" hidden="1" x14ac:dyDescent="0.2">
      <c r="A68">
        <v>3</v>
      </c>
      <c r="B68">
        <v>1</v>
      </c>
      <c r="C68" t="s">
        <v>602</v>
      </c>
      <c r="D68" t="s">
        <v>604</v>
      </c>
      <c r="E68">
        <v>1975</v>
      </c>
      <c r="F68" t="s">
        <v>603</v>
      </c>
      <c r="G68">
        <v>5</v>
      </c>
      <c r="H68">
        <v>156</v>
      </c>
    </row>
    <row r="69" spans="1:8" hidden="1" x14ac:dyDescent="0.2">
      <c r="A69">
        <v>3</v>
      </c>
      <c r="B69">
        <v>2</v>
      </c>
      <c r="C69" t="s">
        <v>605</v>
      </c>
      <c r="D69" t="s">
        <v>607</v>
      </c>
      <c r="E69">
        <v>1977</v>
      </c>
      <c r="F69" t="s">
        <v>606</v>
      </c>
      <c r="G69">
        <v>50</v>
      </c>
      <c r="H69">
        <v>11</v>
      </c>
    </row>
    <row r="70" spans="1:8" hidden="1" x14ac:dyDescent="0.2">
      <c r="A70">
        <v>3</v>
      </c>
      <c r="B70">
        <v>3</v>
      </c>
      <c r="C70" t="s">
        <v>608</v>
      </c>
      <c r="D70" t="s">
        <v>610</v>
      </c>
      <c r="E70">
        <v>1978</v>
      </c>
      <c r="F70" t="s">
        <v>609</v>
      </c>
      <c r="G70">
        <v>6</v>
      </c>
      <c r="H70">
        <v>14</v>
      </c>
    </row>
    <row r="71" spans="1:8" hidden="1" x14ac:dyDescent="0.2">
      <c r="A71">
        <v>3</v>
      </c>
      <c r="B71">
        <v>4</v>
      </c>
      <c r="C71" t="s">
        <v>611</v>
      </c>
      <c r="D71" t="s">
        <v>613</v>
      </c>
      <c r="E71">
        <v>1978</v>
      </c>
      <c r="F71" t="s">
        <v>612</v>
      </c>
      <c r="G71">
        <v>8</v>
      </c>
      <c r="H71">
        <v>19</v>
      </c>
    </row>
    <row r="72" spans="1:8" hidden="1" x14ac:dyDescent="0.2">
      <c r="A72">
        <v>3</v>
      </c>
      <c r="B72">
        <v>5</v>
      </c>
      <c r="C72" t="s">
        <v>614</v>
      </c>
      <c r="D72" t="s">
        <v>616</v>
      </c>
      <c r="E72">
        <v>1978</v>
      </c>
      <c r="F72" t="s">
        <v>615</v>
      </c>
      <c r="G72">
        <v>11</v>
      </c>
      <c r="H72">
        <v>72</v>
      </c>
    </row>
    <row r="73" spans="1:8" hidden="1" x14ac:dyDescent="0.2">
      <c r="A73">
        <v>3</v>
      </c>
      <c r="B73">
        <v>6</v>
      </c>
      <c r="C73" t="s">
        <v>617</v>
      </c>
      <c r="D73" t="s">
        <v>619</v>
      </c>
      <c r="E73">
        <v>1978</v>
      </c>
      <c r="F73" t="s">
        <v>618</v>
      </c>
      <c r="G73">
        <v>14</v>
      </c>
      <c r="H73">
        <v>63</v>
      </c>
    </row>
    <row r="74" spans="1:8" hidden="1" x14ac:dyDescent="0.2">
      <c r="A74">
        <v>3</v>
      </c>
      <c r="B74">
        <v>7</v>
      </c>
      <c r="C74" t="s">
        <v>620</v>
      </c>
      <c r="D74" t="s">
        <v>622</v>
      </c>
      <c r="E74">
        <v>1978</v>
      </c>
      <c r="F74" t="s">
        <v>621</v>
      </c>
      <c r="G74">
        <v>16</v>
      </c>
      <c r="H74">
        <v>29</v>
      </c>
    </row>
    <row r="75" spans="1:8" hidden="1" x14ac:dyDescent="0.2">
      <c r="A75">
        <v>3</v>
      </c>
      <c r="B75">
        <v>8</v>
      </c>
      <c r="C75" t="s">
        <v>623</v>
      </c>
      <c r="D75" t="s">
        <v>625</v>
      </c>
      <c r="E75">
        <v>1978</v>
      </c>
      <c r="F75" t="s">
        <v>624</v>
      </c>
      <c r="G75">
        <v>22</v>
      </c>
      <c r="H75">
        <v>13</v>
      </c>
    </row>
    <row r="76" spans="1:8" hidden="1" x14ac:dyDescent="0.2">
      <c r="A76">
        <v>3</v>
      </c>
      <c r="B76">
        <v>9</v>
      </c>
      <c r="C76" t="s">
        <v>626</v>
      </c>
      <c r="D76" t="s">
        <v>628</v>
      </c>
      <c r="E76">
        <v>1978</v>
      </c>
      <c r="F76" t="s">
        <v>627</v>
      </c>
      <c r="G76">
        <v>16</v>
      </c>
      <c r="H76">
        <v>70</v>
      </c>
    </row>
    <row r="77" spans="1:8" hidden="1" x14ac:dyDescent="0.2">
      <c r="A77">
        <v>3</v>
      </c>
      <c r="B77">
        <v>10</v>
      </c>
      <c r="C77" t="s">
        <v>629</v>
      </c>
      <c r="D77" t="s">
        <v>631</v>
      </c>
      <c r="E77">
        <v>1978</v>
      </c>
      <c r="F77" t="s">
        <v>630</v>
      </c>
      <c r="G77">
        <v>22</v>
      </c>
      <c r="H77">
        <v>31</v>
      </c>
    </row>
    <row r="78" spans="1:8" hidden="1" x14ac:dyDescent="0.2">
      <c r="A78">
        <v>3</v>
      </c>
      <c r="B78">
        <v>11</v>
      </c>
      <c r="C78" t="s">
        <v>632</v>
      </c>
      <c r="D78" t="s">
        <v>633</v>
      </c>
      <c r="E78">
        <v>1978</v>
      </c>
      <c r="F78">
        <v>155</v>
      </c>
      <c r="G78">
        <v>39</v>
      </c>
      <c r="H78">
        <v>63</v>
      </c>
    </row>
    <row r="79" spans="1:8" hidden="1" x14ac:dyDescent="0.2">
      <c r="A79">
        <v>3</v>
      </c>
      <c r="B79">
        <v>12</v>
      </c>
      <c r="C79" t="s">
        <v>634</v>
      </c>
      <c r="D79" t="s">
        <v>635</v>
      </c>
      <c r="E79">
        <v>1978</v>
      </c>
      <c r="F79" t="s">
        <v>636</v>
      </c>
      <c r="G79">
        <v>38</v>
      </c>
      <c r="H79">
        <v>37</v>
      </c>
    </row>
    <row r="80" spans="1:8" hidden="1" x14ac:dyDescent="0.2">
      <c r="A80">
        <v>3</v>
      </c>
      <c r="B80">
        <v>13</v>
      </c>
      <c r="C80" t="s">
        <v>637</v>
      </c>
      <c r="D80" t="s">
        <v>638</v>
      </c>
      <c r="E80" s="5">
        <v>28734</v>
      </c>
      <c r="F80" t="s">
        <v>639</v>
      </c>
      <c r="G80">
        <v>2</v>
      </c>
      <c r="H80">
        <v>41</v>
      </c>
    </row>
    <row r="81" spans="1:10" hidden="1" x14ac:dyDescent="0.2">
      <c r="A81">
        <v>3</v>
      </c>
      <c r="B81">
        <v>14</v>
      </c>
      <c r="C81" t="s">
        <v>640</v>
      </c>
      <c r="D81" t="s">
        <v>641</v>
      </c>
      <c r="E81" s="5">
        <v>28734</v>
      </c>
      <c r="F81" t="s">
        <v>642</v>
      </c>
      <c r="G81">
        <v>2</v>
      </c>
      <c r="H81">
        <v>64</v>
      </c>
    </row>
    <row r="82" spans="1:10" hidden="1" x14ac:dyDescent="0.2">
      <c r="A82">
        <v>3</v>
      </c>
      <c r="B82">
        <v>15</v>
      </c>
      <c r="C82" t="s">
        <v>643</v>
      </c>
      <c r="D82" t="s">
        <v>644</v>
      </c>
      <c r="E82">
        <v>1980</v>
      </c>
      <c r="F82" t="s">
        <v>645</v>
      </c>
      <c r="G82">
        <v>1</v>
      </c>
      <c r="H82">
        <v>24</v>
      </c>
    </row>
    <row r="83" spans="1:10" hidden="1" x14ac:dyDescent="0.2">
      <c r="A83">
        <v>3</v>
      </c>
      <c r="B83">
        <v>16</v>
      </c>
      <c r="C83" t="s">
        <v>646</v>
      </c>
      <c r="D83" t="s">
        <v>647</v>
      </c>
      <c r="E83">
        <v>1980</v>
      </c>
      <c r="F83">
        <v>160</v>
      </c>
      <c r="G83">
        <v>1</v>
      </c>
      <c r="H83">
        <v>122</v>
      </c>
    </row>
    <row r="84" spans="1:10" hidden="1" x14ac:dyDescent="0.2">
      <c r="A84">
        <v>3</v>
      </c>
      <c r="B84">
        <v>17</v>
      </c>
      <c r="C84" t="s">
        <v>648</v>
      </c>
      <c r="D84" t="s">
        <v>649</v>
      </c>
      <c r="E84">
        <v>1981</v>
      </c>
      <c r="F84">
        <v>160</v>
      </c>
      <c r="G84">
        <v>75</v>
      </c>
      <c r="H84">
        <v>1</v>
      </c>
    </row>
    <row r="85" spans="1:10" hidden="1" x14ac:dyDescent="0.2">
      <c r="A85">
        <v>3</v>
      </c>
      <c r="B85">
        <v>18</v>
      </c>
      <c r="C85" t="s">
        <v>650</v>
      </c>
      <c r="D85" t="s">
        <v>652</v>
      </c>
      <c r="E85">
        <v>1981</v>
      </c>
      <c r="F85" t="s">
        <v>651</v>
      </c>
      <c r="G85">
        <v>75</v>
      </c>
      <c r="H85">
        <v>13</v>
      </c>
    </row>
    <row r="86" spans="1:10" hidden="1" x14ac:dyDescent="0.2">
      <c r="A86">
        <v>3</v>
      </c>
      <c r="B86">
        <v>19</v>
      </c>
      <c r="C86" t="s">
        <v>653</v>
      </c>
      <c r="D86" t="s">
        <v>654</v>
      </c>
      <c r="E86" s="2">
        <v>29679</v>
      </c>
      <c r="F86">
        <v>163</v>
      </c>
      <c r="G86">
        <v>75</v>
      </c>
      <c r="H86">
        <v>52</v>
      </c>
    </row>
    <row r="87" spans="1:10" hidden="1" x14ac:dyDescent="0.2">
      <c r="A87">
        <v>4</v>
      </c>
      <c r="B87">
        <v>1</v>
      </c>
      <c r="C87" t="s">
        <v>655</v>
      </c>
      <c r="D87" t="s">
        <v>657</v>
      </c>
      <c r="E87">
        <v>1977</v>
      </c>
      <c r="F87" t="s">
        <v>656</v>
      </c>
      <c r="G87">
        <v>3</v>
      </c>
      <c r="H87">
        <v>75</v>
      </c>
    </row>
    <row r="88" spans="1:10" hidden="1" x14ac:dyDescent="0.2">
      <c r="A88">
        <v>4</v>
      </c>
      <c r="B88">
        <v>2</v>
      </c>
      <c r="C88" t="s">
        <v>658</v>
      </c>
      <c r="D88" t="s">
        <v>660</v>
      </c>
      <c r="E88">
        <v>1977</v>
      </c>
      <c r="F88" t="s">
        <v>659</v>
      </c>
      <c r="G88">
        <v>35</v>
      </c>
      <c r="H88">
        <v>6</v>
      </c>
    </row>
    <row r="89" spans="1:10" hidden="1" x14ac:dyDescent="0.2">
      <c r="A89">
        <v>4</v>
      </c>
      <c r="B89">
        <v>3</v>
      </c>
      <c r="C89" t="s">
        <v>661</v>
      </c>
      <c r="D89" t="s">
        <v>663</v>
      </c>
      <c r="E89" s="2">
        <v>28448</v>
      </c>
      <c r="F89" t="s">
        <v>662</v>
      </c>
      <c r="G89">
        <v>32</v>
      </c>
      <c r="H89">
        <v>8</v>
      </c>
    </row>
    <row r="90" spans="1:10" hidden="1" x14ac:dyDescent="0.2">
      <c r="A90">
        <v>4</v>
      </c>
      <c r="B90">
        <v>4</v>
      </c>
      <c r="C90" t="s">
        <v>664</v>
      </c>
      <c r="D90" t="s">
        <v>666</v>
      </c>
      <c r="E90">
        <v>1978</v>
      </c>
      <c r="F90" t="s">
        <v>665</v>
      </c>
      <c r="G90">
        <v>11</v>
      </c>
      <c r="H90">
        <v>4</v>
      </c>
    </row>
    <row r="91" spans="1:10" hidden="1" x14ac:dyDescent="0.2">
      <c r="A91">
        <v>4</v>
      </c>
      <c r="B91">
        <v>5</v>
      </c>
      <c r="C91" t="s">
        <v>667</v>
      </c>
      <c r="D91" t="s">
        <v>669</v>
      </c>
      <c r="E91">
        <v>1978</v>
      </c>
      <c r="F91" t="s">
        <v>668</v>
      </c>
      <c r="G91">
        <v>11</v>
      </c>
      <c r="H91">
        <v>47</v>
      </c>
    </row>
    <row r="92" spans="1:10" hidden="1" x14ac:dyDescent="0.2">
      <c r="A92">
        <v>4</v>
      </c>
      <c r="B92">
        <v>6</v>
      </c>
      <c r="C92" t="s">
        <v>670</v>
      </c>
      <c r="D92" t="s">
        <v>672</v>
      </c>
      <c r="E92" s="5">
        <v>28672</v>
      </c>
      <c r="F92" t="s">
        <v>671</v>
      </c>
      <c r="G92">
        <v>16</v>
      </c>
      <c r="H92">
        <v>10</v>
      </c>
    </row>
    <row r="93" spans="1:10" hidden="1" x14ac:dyDescent="0.2">
      <c r="A93">
        <v>4</v>
      </c>
      <c r="B93">
        <v>7</v>
      </c>
      <c r="C93" t="s">
        <v>673</v>
      </c>
      <c r="D93" t="s">
        <v>674</v>
      </c>
      <c r="E93" s="5">
        <v>28672</v>
      </c>
      <c r="F93">
        <v>176</v>
      </c>
      <c r="G93">
        <v>16</v>
      </c>
      <c r="H93">
        <v>19</v>
      </c>
    </row>
    <row r="94" spans="1:10" hidden="1" x14ac:dyDescent="0.2">
      <c r="A94">
        <v>4</v>
      </c>
      <c r="B94">
        <v>8</v>
      </c>
      <c r="C94" t="s">
        <v>675</v>
      </c>
      <c r="D94" t="s">
        <v>677</v>
      </c>
      <c r="E94">
        <v>1978</v>
      </c>
      <c r="F94" t="s">
        <v>676</v>
      </c>
      <c r="G94">
        <v>15</v>
      </c>
      <c r="H94">
        <v>44</v>
      </c>
    </row>
    <row r="95" spans="1:10" x14ac:dyDescent="0.2">
      <c r="A95">
        <v>4</v>
      </c>
      <c r="B95">
        <v>9</v>
      </c>
      <c r="C95" s="9" t="s">
        <v>678</v>
      </c>
      <c r="D95" t="s">
        <v>679</v>
      </c>
      <c r="E95">
        <v>1978</v>
      </c>
      <c r="F95" t="s">
        <v>680</v>
      </c>
      <c r="G95" s="9"/>
      <c r="H95" s="9"/>
      <c r="J95" t="s">
        <v>892</v>
      </c>
    </row>
    <row r="96" spans="1:10" x14ac:dyDescent="0.2">
      <c r="A96">
        <v>4</v>
      </c>
      <c r="B96">
        <v>10</v>
      </c>
      <c r="C96" s="9" t="s">
        <v>681</v>
      </c>
      <c r="D96" t="s">
        <v>682</v>
      </c>
      <c r="E96">
        <v>1978</v>
      </c>
      <c r="F96">
        <v>179</v>
      </c>
      <c r="G96" s="9"/>
      <c r="H96" s="9"/>
      <c r="J96" t="s">
        <v>892</v>
      </c>
    </row>
    <row r="97" spans="1:10" hidden="1" x14ac:dyDescent="0.2">
      <c r="A97">
        <v>4</v>
      </c>
      <c r="B97">
        <v>11</v>
      </c>
      <c r="C97" t="s">
        <v>683</v>
      </c>
      <c r="D97" t="s">
        <v>685</v>
      </c>
      <c r="E97">
        <v>1978</v>
      </c>
      <c r="F97" t="s">
        <v>684</v>
      </c>
      <c r="G97">
        <v>19</v>
      </c>
      <c r="H97">
        <v>37</v>
      </c>
    </row>
    <row r="98" spans="1:10" x14ac:dyDescent="0.2">
      <c r="A98">
        <v>4</v>
      </c>
      <c r="B98">
        <v>12</v>
      </c>
      <c r="C98" s="9" t="s">
        <v>686</v>
      </c>
      <c r="D98" t="s">
        <v>688</v>
      </c>
      <c r="E98">
        <v>1978</v>
      </c>
      <c r="F98" t="s">
        <v>687</v>
      </c>
      <c r="G98" s="9"/>
      <c r="H98" s="9"/>
      <c r="J98" t="s">
        <v>892</v>
      </c>
    </row>
    <row r="99" spans="1:10" hidden="1" x14ac:dyDescent="0.2">
      <c r="A99">
        <v>4</v>
      </c>
      <c r="B99">
        <v>13</v>
      </c>
      <c r="C99" t="s">
        <v>689</v>
      </c>
      <c r="D99" t="s">
        <v>690</v>
      </c>
      <c r="E99">
        <v>1978</v>
      </c>
      <c r="F99">
        <v>185</v>
      </c>
      <c r="G99">
        <v>21</v>
      </c>
      <c r="H99">
        <v>22</v>
      </c>
    </row>
    <row r="100" spans="1:10" hidden="1" x14ac:dyDescent="0.2">
      <c r="A100">
        <v>4</v>
      </c>
      <c r="B100">
        <v>14</v>
      </c>
      <c r="C100" t="s">
        <v>691</v>
      </c>
      <c r="D100" t="s">
        <v>692</v>
      </c>
      <c r="E100">
        <v>1978</v>
      </c>
      <c r="F100">
        <v>185</v>
      </c>
      <c r="G100">
        <v>38</v>
      </c>
      <c r="H100">
        <v>71</v>
      </c>
    </row>
    <row r="101" spans="1:10" hidden="1" x14ac:dyDescent="0.2">
      <c r="A101">
        <v>4</v>
      </c>
      <c r="B101">
        <v>15</v>
      </c>
      <c r="C101" t="s">
        <v>693</v>
      </c>
      <c r="D101" t="s">
        <v>694</v>
      </c>
      <c r="E101">
        <v>1978</v>
      </c>
      <c r="F101" t="s">
        <v>695</v>
      </c>
      <c r="G101">
        <v>21</v>
      </c>
      <c r="H101">
        <v>23</v>
      </c>
    </row>
    <row r="102" spans="1:10" hidden="1" x14ac:dyDescent="0.2">
      <c r="A102">
        <v>4</v>
      </c>
      <c r="B102">
        <v>16</v>
      </c>
      <c r="C102" t="s">
        <v>696</v>
      </c>
      <c r="D102" t="s">
        <v>698</v>
      </c>
      <c r="E102">
        <v>1978</v>
      </c>
      <c r="F102" t="s">
        <v>697</v>
      </c>
      <c r="G102">
        <v>21</v>
      </c>
      <c r="H102">
        <v>53</v>
      </c>
    </row>
    <row r="103" spans="1:10" hidden="1" x14ac:dyDescent="0.2">
      <c r="A103">
        <v>4</v>
      </c>
      <c r="B103">
        <v>17</v>
      </c>
      <c r="C103" t="s">
        <v>699</v>
      </c>
      <c r="D103" t="s">
        <v>701</v>
      </c>
      <c r="E103">
        <v>1978</v>
      </c>
      <c r="F103" t="s">
        <v>700</v>
      </c>
      <c r="G103">
        <v>29</v>
      </c>
      <c r="H103">
        <v>56</v>
      </c>
    </row>
    <row r="104" spans="1:10" hidden="1" x14ac:dyDescent="0.2">
      <c r="A104">
        <v>4</v>
      </c>
      <c r="B104">
        <v>18</v>
      </c>
      <c r="C104" t="s">
        <v>702</v>
      </c>
      <c r="D104" t="s">
        <v>703</v>
      </c>
      <c r="E104">
        <v>1978</v>
      </c>
      <c r="F104">
        <v>189</v>
      </c>
      <c r="G104">
        <v>30</v>
      </c>
      <c r="H104">
        <v>13</v>
      </c>
    </row>
    <row r="105" spans="1:10" hidden="1" x14ac:dyDescent="0.2">
      <c r="A105">
        <v>4</v>
      </c>
      <c r="B105">
        <v>19</v>
      </c>
      <c r="C105" t="s">
        <v>704</v>
      </c>
      <c r="D105" t="s">
        <v>706</v>
      </c>
      <c r="E105">
        <v>1978</v>
      </c>
      <c r="F105" t="s">
        <v>705</v>
      </c>
      <c r="G105">
        <v>11</v>
      </c>
      <c r="H105">
        <v>18</v>
      </c>
    </row>
    <row r="106" spans="1:10" hidden="1" x14ac:dyDescent="0.2">
      <c r="A106">
        <v>4</v>
      </c>
      <c r="B106">
        <v>20</v>
      </c>
      <c r="C106" t="s">
        <v>707</v>
      </c>
      <c r="D106" t="s">
        <v>708</v>
      </c>
      <c r="E106">
        <v>1979</v>
      </c>
      <c r="F106" t="s">
        <v>709</v>
      </c>
      <c r="G106">
        <v>44</v>
      </c>
      <c r="H106">
        <v>11</v>
      </c>
    </row>
    <row r="107" spans="1:10" hidden="1" x14ac:dyDescent="0.2">
      <c r="A107">
        <v>4</v>
      </c>
      <c r="B107">
        <v>21</v>
      </c>
      <c r="C107" t="s">
        <v>710</v>
      </c>
      <c r="D107" t="s">
        <v>711</v>
      </c>
      <c r="E107">
        <v>1979</v>
      </c>
      <c r="F107" t="s">
        <v>712</v>
      </c>
      <c r="G107">
        <v>48</v>
      </c>
      <c r="H107">
        <v>59</v>
      </c>
    </row>
    <row r="108" spans="1:10" hidden="1" x14ac:dyDescent="0.2">
      <c r="A108">
        <v>4</v>
      </c>
      <c r="B108">
        <v>22</v>
      </c>
      <c r="C108" t="s">
        <v>713</v>
      </c>
      <c r="D108" t="s">
        <v>714</v>
      </c>
      <c r="E108">
        <v>1979</v>
      </c>
      <c r="F108" t="s">
        <v>715</v>
      </c>
      <c r="G108">
        <v>48</v>
      </c>
      <c r="H108">
        <v>162</v>
      </c>
    </row>
    <row r="109" spans="1:10" hidden="1" x14ac:dyDescent="0.2">
      <c r="A109">
        <v>4</v>
      </c>
      <c r="B109">
        <v>23</v>
      </c>
      <c r="C109" t="s">
        <v>716</v>
      </c>
      <c r="D109" t="s">
        <v>718</v>
      </c>
      <c r="E109">
        <v>1981</v>
      </c>
      <c r="F109" t="s">
        <v>717</v>
      </c>
      <c r="G109">
        <v>54</v>
      </c>
      <c r="H109">
        <v>68</v>
      </c>
    </row>
    <row r="110" spans="1:10" hidden="1" x14ac:dyDescent="0.2">
      <c r="A110">
        <v>4</v>
      </c>
      <c r="B110">
        <v>24</v>
      </c>
      <c r="C110" t="s">
        <v>719</v>
      </c>
      <c r="D110" t="s">
        <v>721</v>
      </c>
      <c r="E110">
        <v>1981</v>
      </c>
      <c r="F110" t="s">
        <v>720</v>
      </c>
      <c r="G110">
        <v>54</v>
      </c>
      <c r="H110">
        <v>86</v>
      </c>
    </row>
    <row r="111" spans="1:10" hidden="1" x14ac:dyDescent="0.2">
      <c r="A111">
        <v>4</v>
      </c>
      <c r="B111">
        <v>25</v>
      </c>
      <c r="C111" t="s">
        <v>722</v>
      </c>
      <c r="D111" t="s">
        <v>724</v>
      </c>
      <c r="E111">
        <v>1981</v>
      </c>
      <c r="F111" t="s">
        <v>723</v>
      </c>
      <c r="G111">
        <v>81</v>
      </c>
      <c r="H111">
        <v>229</v>
      </c>
    </row>
    <row r="112" spans="1:10" hidden="1" x14ac:dyDescent="0.2">
      <c r="A112">
        <v>4</v>
      </c>
      <c r="B112">
        <v>26</v>
      </c>
      <c r="C112" t="s">
        <v>725</v>
      </c>
      <c r="D112" t="s">
        <v>726</v>
      </c>
      <c r="E112">
        <v>1981</v>
      </c>
      <c r="F112">
        <v>201</v>
      </c>
      <c r="G112">
        <v>74</v>
      </c>
      <c r="H112">
        <v>5</v>
      </c>
    </row>
    <row r="113" spans="1:9" hidden="1" x14ac:dyDescent="0.2">
      <c r="A113">
        <v>4</v>
      </c>
      <c r="B113">
        <v>27</v>
      </c>
      <c r="C113" t="s">
        <v>727</v>
      </c>
      <c r="D113" t="s">
        <v>729</v>
      </c>
      <c r="E113">
        <v>1981</v>
      </c>
      <c r="F113" t="s">
        <v>728</v>
      </c>
      <c r="G113">
        <v>79</v>
      </c>
      <c r="H113">
        <v>24</v>
      </c>
    </row>
    <row r="114" spans="1:9" hidden="1" x14ac:dyDescent="0.2">
      <c r="A114">
        <v>4</v>
      </c>
      <c r="B114">
        <v>28</v>
      </c>
      <c r="C114" t="s">
        <v>730</v>
      </c>
      <c r="D114" t="s">
        <v>731</v>
      </c>
      <c r="E114">
        <v>1981</v>
      </c>
      <c r="F114">
        <v>202</v>
      </c>
      <c r="G114">
        <v>80</v>
      </c>
      <c r="H114">
        <v>2</v>
      </c>
    </row>
    <row r="115" spans="1:9" hidden="1" x14ac:dyDescent="0.2">
      <c r="A115">
        <v>4</v>
      </c>
      <c r="B115">
        <v>29</v>
      </c>
      <c r="C115" t="s">
        <v>732</v>
      </c>
      <c r="D115" t="s">
        <v>734</v>
      </c>
      <c r="E115">
        <v>1982</v>
      </c>
      <c r="F115" t="s">
        <v>733</v>
      </c>
      <c r="G115">
        <v>54</v>
      </c>
      <c r="H115">
        <v>18</v>
      </c>
    </row>
    <row r="116" spans="1:9" hidden="1" x14ac:dyDescent="0.2">
      <c r="A116">
        <v>5</v>
      </c>
      <c r="B116">
        <v>1</v>
      </c>
      <c r="C116" t="s">
        <v>735</v>
      </c>
      <c r="D116" t="s">
        <v>737</v>
      </c>
      <c r="E116" t="s">
        <v>117</v>
      </c>
      <c r="F116" t="s">
        <v>736</v>
      </c>
      <c r="G116">
        <v>4</v>
      </c>
      <c r="H116">
        <v>223</v>
      </c>
    </row>
    <row r="117" spans="1:9" hidden="1" x14ac:dyDescent="0.2">
      <c r="A117">
        <v>5</v>
      </c>
      <c r="B117" t="s">
        <v>738</v>
      </c>
      <c r="C117" t="s">
        <v>739</v>
      </c>
      <c r="D117" t="s">
        <v>741</v>
      </c>
      <c r="E117" t="s">
        <v>117</v>
      </c>
      <c r="F117" t="s">
        <v>740</v>
      </c>
      <c r="G117">
        <v>4</v>
      </c>
      <c r="H117">
        <v>228</v>
      </c>
    </row>
    <row r="118" spans="1:9" hidden="1" x14ac:dyDescent="0.2">
      <c r="A118">
        <v>5</v>
      </c>
      <c r="B118">
        <v>2</v>
      </c>
      <c r="C118" t="s">
        <v>742</v>
      </c>
      <c r="D118" t="s">
        <v>744</v>
      </c>
      <c r="E118">
        <v>1978</v>
      </c>
      <c r="F118" t="s">
        <v>743</v>
      </c>
      <c r="G118">
        <v>9</v>
      </c>
      <c r="H118">
        <v>1</v>
      </c>
    </row>
    <row r="119" spans="1:9" hidden="1" x14ac:dyDescent="0.2">
      <c r="A119">
        <v>5</v>
      </c>
      <c r="B119">
        <v>3</v>
      </c>
      <c r="C119" t="s">
        <v>745</v>
      </c>
      <c r="D119" t="s">
        <v>747</v>
      </c>
      <c r="E119">
        <v>1981</v>
      </c>
      <c r="F119" t="s">
        <v>746</v>
      </c>
      <c r="G119">
        <v>59</v>
      </c>
      <c r="H119">
        <v>1</v>
      </c>
    </row>
    <row r="120" spans="1:9" hidden="1" x14ac:dyDescent="0.2">
      <c r="A120">
        <v>5</v>
      </c>
      <c r="B120">
        <v>4</v>
      </c>
      <c r="C120" t="s">
        <v>748</v>
      </c>
      <c r="D120" t="s">
        <v>750</v>
      </c>
      <c r="E120">
        <v>1981</v>
      </c>
      <c r="F120" t="s">
        <v>749</v>
      </c>
      <c r="G120">
        <v>78</v>
      </c>
      <c r="H120">
        <v>1</v>
      </c>
    </row>
    <row r="121" spans="1:9" hidden="1" x14ac:dyDescent="0.2">
      <c r="A121">
        <v>6</v>
      </c>
      <c r="B121">
        <v>1</v>
      </c>
      <c r="C121" t="s">
        <v>751</v>
      </c>
      <c r="D121" t="s">
        <v>753</v>
      </c>
      <c r="E121" s="2">
        <v>27218</v>
      </c>
      <c r="F121" t="s">
        <v>752</v>
      </c>
      <c r="G121">
        <v>4</v>
      </c>
      <c r="H121">
        <v>34</v>
      </c>
    </row>
    <row r="122" spans="1:9" hidden="1" x14ac:dyDescent="0.2">
      <c r="A122">
        <v>6</v>
      </c>
      <c r="B122">
        <v>2</v>
      </c>
      <c r="C122" t="s">
        <v>754</v>
      </c>
      <c r="D122" t="s">
        <v>756</v>
      </c>
      <c r="E122">
        <v>1981</v>
      </c>
      <c r="F122" t="s">
        <v>755</v>
      </c>
      <c r="G122">
        <v>62</v>
      </c>
      <c r="H122">
        <v>2</v>
      </c>
    </row>
    <row r="123" spans="1:9" hidden="1" x14ac:dyDescent="0.2">
      <c r="A123">
        <v>6</v>
      </c>
      <c r="B123">
        <v>3</v>
      </c>
      <c r="C123" t="s">
        <v>757</v>
      </c>
      <c r="D123" t="s">
        <v>759</v>
      </c>
      <c r="E123">
        <v>1981</v>
      </c>
      <c r="F123" t="s">
        <v>758</v>
      </c>
      <c r="G123">
        <v>62</v>
      </c>
      <c r="H123">
        <v>24</v>
      </c>
    </row>
    <row r="124" spans="1:9" hidden="1" x14ac:dyDescent="0.2">
      <c r="A124">
        <v>7</v>
      </c>
      <c r="B124">
        <v>1</v>
      </c>
      <c r="C124" t="s">
        <v>760</v>
      </c>
      <c r="D124" t="s">
        <v>762</v>
      </c>
      <c r="E124">
        <v>1979</v>
      </c>
      <c r="F124" t="s">
        <v>761</v>
      </c>
      <c r="G124">
        <v>44</v>
      </c>
      <c r="H124">
        <v>63</v>
      </c>
    </row>
    <row r="125" spans="1:9" hidden="1" x14ac:dyDescent="0.2">
      <c r="A125">
        <v>7</v>
      </c>
      <c r="B125">
        <v>2</v>
      </c>
      <c r="C125" t="s">
        <v>763</v>
      </c>
      <c r="D125" t="s">
        <v>765</v>
      </c>
      <c r="E125">
        <v>1981</v>
      </c>
      <c r="F125" t="s">
        <v>764</v>
      </c>
      <c r="G125">
        <v>64</v>
      </c>
      <c r="H125">
        <v>40</v>
      </c>
    </row>
    <row r="126" spans="1:9" hidden="1" x14ac:dyDescent="0.2">
      <c r="A126">
        <v>8</v>
      </c>
      <c r="B126">
        <v>1</v>
      </c>
      <c r="C126" t="s">
        <v>766</v>
      </c>
      <c r="D126" t="s">
        <v>768</v>
      </c>
      <c r="E126">
        <v>1975</v>
      </c>
      <c r="F126" t="s">
        <v>767</v>
      </c>
      <c r="G126">
        <v>5</v>
      </c>
      <c r="H126">
        <v>304</v>
      </c>
    </row>
    <row r="127" spans="1:9" hidden="1" x14ac:dyDescent="0.2">
      <c r="A127">
        <v>8</v>
      </c>
      <c r="B127">
        <v>2</v>
      </c>
      <c r="C127" t="s">
        <v>769</v>
      </c>
      <c r="D127" t="s">
        <v>770</v>
      </c>
      <c r="E127">
        <v>1975</v>
      </c>
      <c r="F127" t="s">
        <v>771</v>
      </c>
      <c r="G127">
        <v>4</v>
      </c>
      <c r="H127">
        <v>252</v>
      </c>
      <c r="I127" t="s">
        <v>894</v>
      </c>
    </row>
    <row r="128" spans="1:9" hidden="1" x14ac:dyDescent="0.2">
      <c r="A128">
        <v>8</v>
      </c>
      <c r="B128">
        <v>3</v>
      </c>
      <c r="C128" t="s">
        <v>772</v>
      </c>
      <c r="D128" t="s">
        <v>773</v>
      </c>
      <c r="E128">
        <v>1979</v>
      </c>
      <c r="F128">
        <v>251</v>
      </c>
      <c r="G128">
        <v>46</v>
      </c>
      <c r="H128">
        <v>56</v>
      </c>
    </row>
  </sheetData>
  <autoFilter ref="A1:J128" xr:uid="{9A2C986C-11AC-0F47-9C18-01EDD167E22A}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71B5-D13F-A445-9642-45E69D64118F}">
  <dimension ref="A1:G23"/>
  <sheetViews>
    <sheetView topLeftCell="A5" workbookViewId="0">
      <selection activeCell="C8" sqref="C8"/>
    </sheetView>
  </sheetViews>
  <sheetFormatPr baseColWidth="10" defaultRowHeight="16" x14ac:dyDescent="0.2"/>
  <cols>
    <col min="2" max="2" width="10.83203125" style="7"/>
  </cols>
  <sheetData>
    <row r="1" spans="1:7" x14ac:dyDescent="0.2">
      <c r="A1" t="s">
        <v>774</v>
      </c>
      <c r="B1" s="7" t="s">
        <v>775</v>
      </c>
      <c r="C1" t="s">
        <v>776</v>
      </c>
      <c r="D1" t="s">
        <v>777</v>
      </c>
      <c r="E1" t="s">
        <v>785</v>
      </c>
      <c r="F1" t="s">
        <v>778</v>
      </c>
      <c r="G1" t="s">
        <v>797</v>
      </c>
    </row>
    <row r="2" spans="1:7" x14ac:dyDescent="0.2">
      <c r="A2">
        <v>1</v>
      </c>
      <c r="B2" s="7" t="s">
        <v>779</v>
      </c>
      <c r="C2" t="s">
        <v>780</v>
      </c>
      <c r="D2" t="s">
        <v>782</v>
      </c>
    </row>
    <row r="3" spans="1:7" x14ac:dyDescent="0.2">
      <c r="A3">
        <v>2</v>
      </c>
      <c r="B3" s="7" t="s">
        <v>848</v>
      </c>
      <c r="C3" t="s">
        <v>849</v>
      </c>
      <c r="D3" t="s">
        <v>783</v>
      </c>
      <c r="E3" t="s">
        <v>786</v>
      </c>
      <c r="G3" t="s">
        <v>798</v>
      </c>
    </row>
    <row r="4" spans="1:7" x14ac:dyDescent="0.2">
      <c r="A4">
        <v>3</v>
      </c>
      <c r="B4" s="7" t="s">
        <v>850</v>
      </c>
      <c r="C4" t="s">
        <v>784</v>
      </c>
      <c r="D4" t="s">
        <v>788</v>
      </c>
      <c r="E4" t="s">
        <v>787</v>
      </c>
      <c r="G4" t="s">
        <v>799</v>
      </c>
    </row>
    <row r="5" spans="1:7" x14ac:dyDescent="0.2">
      <c r="A5">
        <v>4</v>
      </c>
      <c r="B5" s="7" t="s">
        <v>851</v>
      </c>
      <c r="C5" t="s">
        <v>789</v>
      </c>
      <c r="D5" t="s">
        <v>753</v>
      </c>
      <c r="E5" t="s">
        <v>790</v>
      </c>
      <c r="G5" t="s">
        <v>800</v>
      </c>
    </row>
    <row r="6" spans="1:7" x14ac:dyDescent="0.2">
      <c r="A6">
        <v>5</v>
      </c>
      <c r="B6" s="7" t="s">
        <v>852</v>
      </c>
      <c r="C6" t="s">
        <v>853</v>
      </c>
      <c r="E6" t="s">
        <v>855</v>
      </c>
      <c r="G6" t="s">
        <v>854</v>
      </c>
    </row>
    <row r="7" spans="1:7" x14ac:dyDescent="0.2">
      <c r="A7">
        <v>6</v>
      </c>
      <c r="B7" s="7" t="s">
        <v>857</v>
      </c>
      <c r="C7" t="s">
        <v>859</v>
      </c>
      <c r="G7" t="s">
        <v>858</v>
      </c>
    </row>
    <row r="8" spans="1:7" x14ac:dyDescent="0.2">
      <c r="A8">
        <v>7</v>
      </c>
      <c r="B8" s="7" t="s">
        <v>856</v>
      </c>
      <c r="C8" t="s">
        <v>791</v>
      </c>
      <c r="D8" t="s">
        <v>792</v>
      </c>
      <c r="G8" t="s">
        <v>793</v>
      </c>
    </row>
    <row r="9" spans="1:7" x14ac:dyDescent="0.2">
      <c r="A9">
        <v>8</v>
      </c>
      <c r="B9" s="7" t="s">
        <v>781</v>
      </c>
      <c r="C9" t="s">
        <v>794</v>
      </c>
      <c r="D9" t="s">
        <v>796</v>
      </c>
      <c r="E9" t="s">
        <v>795</v>
      </c>
      <c r="G9" t="s">
        <v>801</v>
      </c>
    </row>
    <row r="10" spans="1:7" x14ac:dyDescent="0.2">
      <c r="A10">
        <v>9</v>
      </c>
      <c r="B10" s="7" t="s">
        <v>781</v>
      </c>
      <c r="C10" t="s">
        <v>802</v>
      </c>
      <c r="D10" t="s">
        <v>805</v>
      </c>
      <c r="E10" t="s">
        <v>803</v>
      </c>
      <c r="G10" t="s">
        <v>804</v>
      </c>
    </row>
    <row r="11" spans="1:7" x14ac:dyDescent="0.2">
      <c r="A11">
        <v>10</v>
      </c>
      <c r="B11" s="7" t="s">
        <v>781</v>
      </c>
      <c r="C11" t="s">
        <v>806</v>
      </c>
      <c r="D11" t="s">
        <v>807</v>
      </c>
      <c r="E11" t="s">
        <v>803</v>
      </c>
      <c r="G11" t="s">
        <v>804</v>
      </c>
    </row>
    <row r="12" spans="1:7" x14ac:dyDescent="0.2">
      <c r="A12">
        <v>11</v>
      </c>
      <c r="B12" s="7" t="s">
        <v>781</v>
      </c>
      <c r="C12" t="s">
        <v>808</v>
      </c>
      <c r="D12" t="s">
        <v>809</v>
      </c>
    </row>
    <row r="13" spans="1:7" x14ac:dyDescent="0.2">
      <c r="A13">
        <v>12</v>
      </c>
      <c r="B13" s="7" t="s">
        <v>781</v>
      </c>
      <c r="C13" t="s">
        <v>810</v>
      </c>
      <c r="D13" t="s">
        <v>813</v>
      </c>
      <c r="E13" t="s">
        <v>811</v>
      </c>
      <c r="G13" t="s">
        <v>812</v>
      </c>
    </row>
    <row r="14" spans="1:7" x14ac:dyDescent="0.2">
      <c r="A14">
        <v>13</v>
      </c>
      <c r="B14" s="7" t="s">
        <v>781</v>
      </c>
      <c r="C14" t="s">
        <v>814</v>
      </c>
      <c r="D14" t="s">
        <v>817</v>
      </c>
      <c r="E14" t="s">
        <v>815</v>
      </c>
      <c r="G14" t="s">
        <v>816</v>
      </c>
    </row>
    <row r="15" spans="1:7" x14ac:dyDescent="0.2">
      <c r="A15">
        <v>14</v>
      </c>
      <c r="B15" s="7" t="s">
        <v>781</v>
      </c>
      <c r="C15" t="s">
        <v>818</v>
      </c>
      <c r="D15" t="s">
        <v>821</v>
      </c>
      <c r="E15" t="s">
        <v>819</v>
      </c>
      <c r="G15" t="s">
        <v>820</v>
      </c>
    </row>
    <row r="16" spans="1:7" x14ac:dyDescent="0.2">
      <c r="A16">
        <v>15</v>
      </c>
      <c r="B16" s="7" t="s">
        <v>781</v>
      </c>
      <c r="C16" t="s">
        <v>822</v>
      </c>
      <c r="D16" t="s">
        <v>825</v>
      </c>
      <c r="E16" t="s">
        <v>823</v>
      </c>
      <c r="G16" t="s">
        <v>824</v>
      </c>
    </row>
    <row r="17" spans="1:7" x14ac:dyDescent="0.2">
      <c r="A17">
        <v>16</v>
      </c>
      <c r="B17" s="7" t="s">
        <v>781</v>
      </c>
      <c r="C17" t="s">
        <v>826</v>
      </c>
      <c r="D17" t="s">
        <v>827</v>
      </c>
    </row>
    <row r="18" spans="1:7" x14ac:dyDescent="0.2">
      <c r="A18">
        <v>17</v>
      </c>
      <c r="B18" s="7" t="s">
        <v>781</v>
      </c>
      <c r="C18" t="s">
        <v>828</v>
      </c>
      <c r="D18" t="s">
        <v>829</v>
      </c>
    </row>
    <row r="19" spans="1:7" x14ac:dyDescent="0.2">
      <c r="A19">
        <v>18</v>
      </c>
      <c r="B19" s="7" t="s">
        <v>781</v>
      </c>
      <c r="C19" t="s">
        <v>830</v>
      </c>
      <c r="D19" t="s">
        <v>832</v>
      </c>
      <c r="E19" t="s">
        <v>831</v>
      </c>
      <c r="G19" t="s">
        <v>833</v>
      </c>
    </row>
    <row r="20" spans="1:7" x14ac:dyDescent="0.2">
      <c r="A20">
        <v>19</v>
      </c>
      <c r="B20" s="7" t="s">
        <v>781</v>
      </c>
      <c r="C20" t="s">
        <v>834</v>
      </c>
      <c r="D20" t="s">
        <v>836</v>
      </c>
      <c r="E20" t="s">
        <v>837</v>
      </c>
      <c r="G20" t="s">
        <v>835</v>
      </c>
    </row>
    <row r="21" spans="1:7" x14ac:dyDescent="0.2">
      <c r="A21">
        <v>20</v>
      </c>
      <c r="B21" s="7" t="s">
        <v>781</v>
      </c>
      <c r="C21" t="s">
        <v>840</v>
      </c>
      <c r="D21" t="s">
        <v>841</v>
      </c>
      <c r="E21" t="s">
        <v>838</v>
      </c>
      <c r="G21" t="s">
        <v>839</v>
      </c>
    </row>
    <row r="22" spans="1:7" x14ac:dyDescent="0.2">
      <c r="A22">
        <v>21</v>
      </c>
      <c r="B22" s="7" t="s">
        <v>781</v>
      </c>
      <c r="C22" t="s">
        <v>842</v>
      </c>
      <c r="D22" t="s">
        <v>845</v>
      </c>
      <c r="E22" t="s">
        <v>843</v>
      </c>
      <c r="G22" t="s">
        <v>844</v>
      </c>
    </row>
    <row r="23" spans="1:7" x14ac:dyDescent="0.2">
      <c r="B23" s="7" t="s">
        <v>781</v>
      </c>
      <c r="C23" t="s">
        <v>846</v>
      </c>
      <c r="D23" t="s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Folder pagecounts and compariso</vt:lpstr>
      <vt:lpstr>Page sequences</vt:lpstr>
      <vt:lpstr>Folder ordering</vt:lpstr>
      <vt:lpstr>Sutin rundown</vt:lpstr>
      <vt:lpstr>Jackson-Lethem rundown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2023-04-25T17:30:22Z</dcterms:created>
  <dcterms:modified xsi:type="dcterms:W3CDTF">2026-01-27T22:05:35Z</dcterms:modified>
</cp:coreProperties>
</file>